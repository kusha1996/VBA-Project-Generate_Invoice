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iht Suthar\Desktop\Kushal\My VBA Project\"/>
    </mc:Choice>
  </mc:AlternateContent>
  <bookViews>
    <workbookView xWindow="0" yWindow="0" windowWidth="23040" windowHeight="8808"/>
  </bookViews>
  <sheets>
    <sheet name="Dashboard" sheetId="5" r:id="rId1"/>
    <sheet name="Invoice" sheetId="1" r:id="rId2"/>
    <sheet name="Masterdata" sheetId="2" r:id="rId3"/>
    <sheet name="Template" sheetId="4" r:id="rId4"/>
  </sheets>
  <definedNames>
    <definedName name="Date_Chart">#REF!:INDEX(#REF!,COUNT(#REF!))</definedName>
    <definedName name="Excel_Folder">Dashboard!$M$18</definedName>
    <definedName name="mycompany">CustomerTable[Company]</definedName>
    <definedName name="mycustomer">CustomerTable[Customer]</definedName>
    <definedName name="PDF_Folder">Dashboard!$M$16</definedName>
    <definedName name="_xlnm.Print_Area" localSheetId="3">Template!$A$1:$E$34</definedName>
    <definedName name="Value_Chart">#REF!:INDEX(#REF!,COUNT(#REF!))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5" l="1"/>
  <c r="E23" i="4" l="1"/>
  <c r="E22" i="4"/>
  <c r="D26" i="4" s="1"/>
  <c r="R11" i="1" l="1"/>
  <c r="T11" i="1" s="1"/>
  <c r="X13" i="1"/>
  <c r="C2" i="5" l="1"/>
  <c r="M5" i="5" s="1"/>
  <c r="R29" i="1" l="1"/>
  <c r="T29" i="1" s="1"/>
  <c r="R30" i="1"/>
  <c r="T30" i="1" s="1"/>
  <c r="R31" i="1"/>
  <c r="R32" i="1"/>
  <c r="T32" i="1" s="1"/>
  <c r="R33" i="1"/>
  <c r="R34" i="1"/>
  <c r="T34" i="1" s="1"/>
  <c r="R35" i="1"/>
  <c r="R36" i="1"/>
  <c r="T36" i="1" s="1"/>
  <c r="R37" i="1"/>
  <c r="R38" i="1"/>
  <c r="R39" i="1"/>
  <c r="R40" i="1"/>
  <c r="T40" i="1" s="1"/>
  <c r="R41" i="1"/>
  <c r="T41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T39" i="1" l="1"/>
  <c r="AA39" i="1" s="1"/>
  <c r="U39" i="1" s="1"/>
  <c r="T35" i="1"/>
  <c r="AA35" i="1" s="1"/>
  <c r="U35" i="1" s="1"/>
  <c r="T38" i="1"/>
  <c r="AA38" i="1" s="1"/>
  <c r="U38" i="1" s="1"/>
  <c r="T31" i="1"/>
  <c r="AA31" i="1" s="1"/>
  <c r="U31" i="1" s="1"/>
  <c r="T37" i="1"/>
  <c r="AA37" i="1" s="1"/>
  <c r="U37" i="1" s="1"/>
  <c r="T33" i="1"/>
  <c r="AA33" i="1" s="1"/>
  <c r="U33" i="1" s="1"/>
  <c r="AA40" i="1"/>
  <c r="U40" i="1" s="1"/>
  <c r="AA36" i="1"/>
  <c r="U36" i="1" s="1"/>
  <c r="AA29" i="1"/>
  <c r="U29" i="1" s="1"/>
  <c r="AA32" i="1"/>
  <c r="U32" i="1" s="1"/>
  <c r="AA41" i="1"/>
  <c r="U41" i="1" s="1"/>
  <c r="AA34" i="1"/>
  <c r="U34" i="1" s="1"/>
  <c r="AA30" i="1"/>
  <c r="U30" i="1" s="1"/>
  <c r="X8" i="1" l="1"/>
  <c r="X9" i="1"/>
  <c r="X10" i="1"/>
  <c r="X11" i="1"/>
  <c r="X12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D27" i="4" s="1"/>
  <c r="R28" i="1"/>
  <c r="T28" i="1" s="1"/>
  <c r="R27" i="1"/>
  <c r="T27" i="1" s="1"/>
  <c r="R26" i="1"/>
  <c r="T26" i="1" s="1"/>
  <c r="AA27" i="1" l="1"/>
  <c r="U27" i="1" s="1"/>
  <c r="AA26" i="1"/>
  <c r="U26" i="1" s="1"/>
  <c r="AA28" i="1" l="1"/>
  <c r="U28" i="1" s="1"/>
  <c r="R9" i="1"/>
  <c r="T9" i="1" s="1"/>
  <c r="R10" i="1"/>
  <c r="T10" i="1" s="1"/>
  <c r="R12" i="1"/>
  <c r="T12" i="1" s="1"/>
  <c r="R13" i="1"/>
  <c r="T13" i="1" s="1"/>
  <c r="R14" i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I5" i="5" s="1"/>
  <c r="R24" i="1"/>
  <c r="R25" i="1"/>
  <c r="T14" i="1" l="1"/>
  <c r="AA14" i="1" s="1"/>
  <c r="U14" i="1" s="1"/>
  <c r="T25" i="1"/>
  <c r="T24" i="1"/>
  <c r="AA24" i="1" s="1"/>
  <c r="U24" i="1" s="1"/>
  <c r="AA16" i="1"/>
  <c r="U16" i="1" s="1"/>
  <c r="AA11" i="1"/>
  <c r="U11" i="1" s="1"/>
  <c r="AA10" i="1"/>
  <c r="U10" i="1" s="1"/>
  <c r="AA21" i="1"/>
  <c r="U21" i="1" s="1"/>
  <c r="AA19" i="1"/>
  <c r="U19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A25" i="1" l="1"/>
  <c r="U25" i="1" s="1"/>
  <c r="R8" i="1" l="1"/>
  <c r="T8" i="1" s="1"/>
  <c r="E5" i="5" s="1"/>
  <c r="AA9" i="1" l="1"/>
  <c r="U9" i="1" s="1"/>
  <c r="AA8" i="1" l="1"/>
  <c r="U8" i="1" s="1"/>
</calcChain>
</file>

<file path=xl/sharedStrings.xml><?xml version="1.0" encoding="utf-8"?>
<sst xmlns="http://schemas.openxmlformats.org/spreadsheetml/2006/main" count="556" uniqueCount="306">
  <si>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</si>
  <si>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</si>
  <si>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</si>
  <si>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</si>
  <si>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</si>
  <si>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</si>
  <si>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</si>
  <si>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</si>
  <si>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</si>
  <si>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</si>
  <si>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</si>
  <si>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</si>
  <si>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</si>
  <si>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</si>
  <si>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</si>
  <si>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</si>
  <si>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</si>
  <si>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</si>
  <si>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</si>
  <si>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</si>
  <si>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</si>
  <si>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</si>
  <si>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</si>
  <si>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</si>
  <si>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</si>
  <si>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</si>
  <si>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</si>
  <si>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</si>
  <si>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</si>
  <si>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</si>
  <si>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</si>
  <si>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</si>
  <si>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</si>
  <si>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</si>
  <si>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</si>
  <si>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</si>
  <si>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</si>
  <si>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</si>
  <si>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</si>
  <si>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</si>
  <si>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</si>
  <si>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</si>
  <si>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</si>
  <si>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</si>
  <si>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</si>
  <si>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</si>
  <si>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</si>
  <si>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</si>
  <si>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</si>
  <si>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</si>
  <si>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</si>
  <si>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</si>
  <si>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</si>
  <si>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</si>
  <si>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</si>
  <si>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</si>
  <si>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</si>
  <si>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</si>
  <si>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</si>
  <si>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</si>
  <si>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</si>
  <si>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</si>
  <si>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</si>
  <si>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</si>
  <si>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</si>
  <si>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</si>
  <si>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</si>
  <si>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</si>
  <si>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</si>
  <si>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</si>
  <si>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</si>
  <si>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</si>
  <si>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</si>
  <si>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</si>
  <si>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</si>
  <si>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</si>
  <si>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</si>
  <si>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</si>
  <si>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</si>
  <si>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</si>
  <si>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</si>
  <si>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</si>
  <si>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</si>
  <si>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</si>
  <si>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</si>
  <si>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</si>
  <si>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</si>
  <si>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</si>
  <si>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</si>
  <si>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</si>
  <si>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</si>
  <si>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</si>
  <si>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</si>
  <si>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</si>
  <si>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</si>
  <si>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</si>
  <si>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</si>
  <si>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</si>
  <si>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</si>
  <si>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</si>
  <si>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</si>
  <si>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</si>
  <si>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</si>
  <si>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</si>
  <si>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</si>
  <si>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</si>
  <si>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</si>
  <si>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</si>
  <si>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</si>
  <si>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</si>
  <si>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</si>
  <si>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</si>
  <si>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</si>
  <si>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</si>
  <si>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</si>
  <si>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</si>
  <si>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</si>
  <si>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</si>
  <si>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</si>
  <si>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</si>
  <si>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</si>
  <si>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</si>
  <si>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</si>
  <si>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</si>
  <si>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</si>
  <si>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</si>
  <si>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</si>
  <si>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</si>
  <si>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</si>
  <si>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</si>
  <si>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</si>
  <si>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</si>
  <si>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</si>
  <si>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</si>
  <si>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</si>
  <si>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</si>
  <si>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</si>
  <si>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</si>
  <si>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</si>
  <si>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</si>
  <si>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</si>
  <si>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</si>
  <si>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</si>
  <si>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</si>
  <si>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</si>
  <si>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</si>
  <si>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</si>
  <si>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</si>
  <si>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</si>
  <si>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</si>
  <si>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</si>
  <si>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</si>
  <si>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</si>
  <si>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</si>
  <si>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Richard.Elliot@Voltage.com</t>
  </si>
  <si>
    <t>Robert.Spear@Inkly.com</t>
  </si>
  <si>
    <t>Roger.Mun@Sleops.com</t>
  </si>
  <si>
    <t>Stevie.Bridge@Hackrr.com</t>
  </si>
  <si>
    <t>Crystal.Doyle@Silvrr.com</t>
  </si>
  <si>
    <t>Daniel.Garrett@Rehire.at</t>
  </si>
  <si>
    <t>Corinna.Schmidt@Kryptis.at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</si>
  <si>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</si>
  <si>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</si>
  <si>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</si>
  <si>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</si>
  <si>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</si>
  <si>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</si>
  <si>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Lukas.Hofer@Kryptis.com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</si>
  <si>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</si>
  <si>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</si>
  <si>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</si>
  <si>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</si>
  <si>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</si>
  <si>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</si>
  <si>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</si>
  <si>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</si>
  <si>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</si>
  <si>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</si>
  <si>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</si>
  <si>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</si>
  <si>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</si>
  <si>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</si>
  <si>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</si>
  <si>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</si>
  <si>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</si>
  <si>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</si>
  <si>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</si>
  <si>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</si>
  <si>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</si>
  <si>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Invoice</t>
  </si>
  <si>
    <t/>
  </si>
  <si>
    <t>Add / Edit Customer in Master Data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</si>
  <si>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</si>
  <si>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</si>
  <si>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</si>
  <si>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</si>
  <si>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</si>
  <si>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</si>
  <si>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</si>
  <si>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</si>
  <si>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</si>
  <si>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</si>
  <si>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</si>
  <si>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</si>
  <si>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</si>
  <si>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</si>
  <si>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</si>
  <si>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</si>
  <si>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</si>
  <si>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</si>
  <si>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</si>
  <si>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</si>
  <si>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Andre.Cooper@Perino.co.uk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</si>
  <si>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</si>
  <si>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</si>
  <si>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</si>
  <si>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</si>
  <si>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</si>
  <si>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</si>
  <si>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WenCaL</t>
  </si>
  <si>
    <t>Relevant Folder paths</t>
  </si>
  <si>
    <t>Make sure you create these two folders inside</t>
  </si>
  <si>
    <t>the same folder as this workbook.</t>
  </si>
  <si>
    <t>PDF Versions</t>
  </si>
  <si>
    <t>PDF</t>
  </si>
  <si>
    <t>Excel Books</t>
  </si>
  <si>
    <t>Excel</t>
  </si>
  <si>
    <t>Created</t>
  </si>
  <si>
    <t>Gary.Miller@WenCaL.com</t>
  </si>
  <si>
    <t>Paul.Garza@Kind.com</t>
  </si>
  <si>
    <t>Robert.Marquez@Pet.com</t>
  </si>
  <si>
    <t>Natalie.Porter@Right.com</t>
  </si>
  <si>
    <t>Kim.West@Right.com</t>
  </si>
  <si>
    <t>Walter.Miller@Twistrr.com</t>
  </si>
  <si>
    <t>Brigitte.Bond@Twistrr.com</t>
  </si>
  <si>
    <t>Robert.Blume@Twistrr.com</t>
  </si>
  <si>
    <t>Mike.Saban@Twistrr.com</t>
  </si>
  <si>
    <t>Maria.Tot@Twistrr.com</t>
  </si>
  <si>
    <t>Ewan.Thompson@Perino.co.uk</t>
  </si>
  <si>
    <t>Robert.Richardson@WenCaL.co.uk</t>
  </si>
  <si>
    <t>View / Update Invoice Information</t>
  </si>
  <si>
    <t>• View the full list of invoices</t>
  </si>
  <si>
    <t>• Generate invoices</t>
  </si>
  <si>
    <t>Kushal Suthar</t>
  </si>
  <si>
    <t>Kushaltripas@gmail.com</t>
  </si>
  <si>
    <t>UID : KUSH123456789</t>
  </si>
  <si>
    <t>Harry</t>
  </si>
  <si>
    <t>Kushal</t>
  </si>
  <si>
    <t>kushal</t>
  </si>
  <si>
    <t>Eclerx</t>
  </si>
  <si>
    <t>Accenture</t>
  </si>
  <si>
    <t>IA</t>
  </si>
  <si>
    <t>Amzon</t>
  </si>
  <si>
    <t>facebook</t>
  </si>
  <si>
    <t xml:space="preserve">Google </t>
  </si>
  <si>
    <t>TATA</t>
  </si>
  <si>
    <t>TCS</t>
  </si>
  <si>
    <t>SBI</t>
  </si>
  <si>
    <t>HDFC</t>
  </si>
  <si>
    <t>ICICI</t>
  </si>
  <si>
    <t>Mahesh</t>
  </si>
  <si>
    <t>Richard</t>
  </si>
  <si>
    <t>Maxwell</t>
  </si>
  <si>
    <t>Sachin</t>
  </si>
  <si>
    <t>Shewag</t>
  </si>
  <si>
    <t>Virat Kohli</t>
  </si>
  <si>
    <t xml:space="preserve">Anderson </t>
  </si>
  <si>
    <t xml:space="preserve">William son </t>
  </si>
  <si>
    <t xml:space="preserve">Ronaldo </t>
  </si>
  <si>
    <t xml:space="preserve">Messi </t>
  </si>
  <si>
    <t>Lewandowoski</t>
  </si>
  <si>
    <t>Zlatan</t>
  </si>
  <si>
    <t>India</t>
  </si>
  <si>
    <t>26.02.2021</t>
  </si>
  <si>
    <t>23.02.2021</t>
  </si>
  <si>
    <t>12.01.2021</t>
  </si>
  <si>
    <t>6.02.2021</t>
  </si>
  <si>
    <t>20.11. 2021</t>
  </si>
  <si>
    <t>07.08.2021</t>
  </si>
  <si>
    <t>29.05.2021</t>
  </si>
  <si>
    <t>26.03.2021</t>
  </si>
  <si>
    <t>27.01.2021</t>
  </si>
  <si>
    <t>21.01.2021</t>
  </si>
  <si>
    <t>18.03.2021</t>
  </si>
  <si>
    <t>28.04.2021</t>
  </si>
  <si>
    <t>16.04.2021</t>
  </si>
  <si>
    <t>Service 21</t>
  </si>
  <si>
    <t>Service 22</t>
  </si>
  <si>
    <t>Service 23</t>
  </si>
  <si>
    <t>Service 24</t>
  </si>
  <si>
    <t>Service 25</t>
  </si>
  <si>
    <t>Service 26</t>
  </si>
  <si>
    <t>Service 27</t>
  </si>
  <si>
    <t>Service 28</t>
  </si>
  <si>
    <t>Service 29</t>
  </si>
  <si>
    <t>Service 30</t>
  </si>
  <si>
    <t>Service 31</t>
  </si>
  <si>
    <t>Service 32</t>
  </si>
  <si>
    <t>Service 33</t>
  </si>
  <si>
    <t>Service 34</t>
  </si>
  <si>
    <t xml:space="preserve">Net Amount </t>
  </si>
  <si>
    <t>By Companies</t>
  </si>
  <si>
    <t xml:space="preserve">       Amount Paid </t>
  </si>
  <si>
    <t xml:space="preserve">               or Invoice Sent  </t>
  </si>
  <si>
    <t>k</t>
  </si>
  <si>
    <t>kush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</si>
</sst>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%;\-0%;"/>
    <numFmt numFmtId="167" formatCode="[$-F800]dddd\,\ mmmm\ dd\,\ yyyy"/>
    <numFmt numFmtId="168" formatCode="&quot;₹&quot;\ #,##0.00"/>
  </numFmts>
  <fonts count="17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sz val="11"/>
      <color rgb="FF000000"/>
      <name val="Arial"/>
      <family val="2"/>
    </font>
    <font>
      <b/>
      <sz val="11"/>
      <color theme="1" tint="0.34998626667073579"/>
      <name val="Arial"/>
      <family val="2"/>
      <scheme val="minor"/>
    </font>
    <font>
      <u/>
      <sz val="11"/>
      <color theme="10"/>
      <name val="Arial"/>
      <family val="2"/>
      <scheme val="minor"/>
    </font>
    <font>
      <b/>
      <sz val="20"/>
      <color theme="2" tint="-0.89999084444715716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theme="0" tint="-4.9989318521683403E-2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49998474074526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medium">
        <color theme="0" tint="-0.149967955565050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3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Protection="1"/>
    <xf numFmtId="9" fontId="0" fillId="0" borderId="0" xfId="2" applyFont="1" applyProtection="1"/>
    <xf numFmtId="165" fontId="0" fillId="0" borderId="0" xfId="0" applyNumberFormat="1"/>
    <xf numFmtId="0" fontId="0" fillId="0" borderId="0" xfId="0" applyFill="1" applyProtection="1"/>
    <xf numFmtId="4" fontId="5" fillId="3" borderId="0" xfId="0" applyNumberFormat="1" applyFont="1" applyFill="1" applyAlignment="1" applyProtection="1">
      <alignment wrapText="1"/>
    </xf>
    <xf numFmtId="0" fontId="0" fillId="5" borderId="0" xfId="0" applyFill="1"/>
    <xf numFmtId="0" fontId="0" fillId="5" borderId="3" xfId="0" applyFill="1" applyBorder="1"/>
    <xf numFmtId="0" fontId="0" fillId="5" borderId="0" xfId="0" applyFill="1" applyBorder="1"/>
    <xf numFmtId="37" fontId="7" fillId="5" borderId="0" xfId="0" applyNumberFormat="1" applyFont="1" applyFill="1" applyAlignment="1">
      <alignment horizontal="center" vertical="center"/>
    </xf>
    <xf numFmtId="0" fontId="8" fillId="5" borderId="0" xfId="0" applyNumberFormat="1" applyFont="1" applyFill="1" applyAlignment="1">
      <alignment horizontal="center" vertical="center"/>
    </xf>
    <xf numFmtId="0" fontId="0" fillId="6" borderId="0" xfId="0" applyFill="1"/>
    <xf numFmtId="0" fontId="9" fillId="6" borderId="0" xfId="0" applyFont="1" applyFill="1" applyAlignment="1">
      <alignment horizontal="left" indent="1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4" xfId="0" applyBorder="1" applyAlignment="1">
      <alignment horizontal="left" vertical="center" wrapText="1"/>
    </xf>
    <xf numFmtId="0" fontId="0" fillId="0" borderId="4" xfId="0" applyFont="1" applyBorder="1" applyAlignment="1">
      <alignment horizontal="center" vertical="center" wrapText="1"/>
    </xf>
    <xf numFmtId="165" fontId="0" fillId="0" borderId="4" xfId="1" applyNumberFormat="1" applyFont="1" applyBorder="1" applyAlignment="1">
      <alignment horizontal="center" vertical="center"/>
    </xf>
    <xf numFmtId="0" fontId="3" fillId="2" borderId="4" xfId="3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left" indent="1"/>
    </xf>
    <xf numFmtId="14" fontId="0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 applyProtection="1">
      <alignment wrapText="1"/>
      <protection locked="0"/>
    </xf>
    <xf numFmtId="14" fontId="5" fillId="0" borderId="0" xfId="0" applyNumberFormat="1" applyFont="1" applyAlignment="1" applyProtection="1">
      <alignment horizontal="left" wrapText="1"/>
      <protection locked="0"/>
    </xf>
    <xf numFmtId="4" fontId="5" fillId="0" borderId="0" xfId="0" applyNumberFormat="1" applyFont="1" applyAlignment="1" applyProtection="1">
      <alignment wrapText="1"/>
      <protection locked="0"/>
    </xf>
    <xf numFmtId="4" fontId="5" fillId="0" borderId="0" xfId="0" applyNumberFormat="1" applyFont="1" applyFill="1" applyBorder="1" applyAlignment="1" applyProtection="1">
      <alignment wrapText="1"/>
      <protection locked="0"/>
    </xf>
    <xf numFmtId="0" fontId="5" fillId="0" borderId="0" xfId="0" applyFont="1" applyFill="1" applyBorder="1" applyAlignment="1" applyProtection="1">
      <alignment wrapText="1"/>
      <protection locked="0"/>
    </xf>
    <xf numFmtId="14" fontId="5" fillId="0" borderId="0" xfId="0" applyNumberFormat="1" applyFont="1" applyFill="1" applyBorder="1" applyAlignment="1" applyProtection="1">
      <alignment horizontal="left" wrapText="1"/>
      <protection locked="0"/>
    </xf>
    <xf numFmtId="0" fontId="5" fillId="0" borderId="0" xfId="0" applyFont="1" applyProtection="1"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Protection="1">
      <protection locked="0"/>
    </xf>
    <xf numFmtId="4" fontId="5" fillId="0" borderId="0" xfId="0" applyNumberFormat="1" applyFont="1" applyFill="1" applyBorder="1" applyProtection="1">
      <protection locked="0"/>
    </xf>
    <xf numFmtId="0" fontId="6" fillId="0" borderId="0" xfId="0" applyFont="1" applyFill="1" applyProtection="1">
      <protection locked="0"/>
    </xf>
    <xf numFmtId="0" fontId="6" fillId="0" borderId="2" xfId="0" applyFont="1" applyFill="1" applyBorder="1" applyAlignment="1" applyProtection="1">
      <alignment wrapText="1"/>
      <protection locked="0"/>
    </xf>
    <xf numFmtId="0" fontId="6" fillId="0" borderId="2" xfId="0" applyFont="1" applyFill="1" applyBorder="1" applyProtection="1">
      <protection locked="0"/>
    </xf>
    <xf numFmtId="9" fontId="6" fillId="0" borderId="2" xfId="2" applyFont="1" applyFill="1" applyBorder="1" applyAlignment="1" applyProtection="1">
      <alignment wrapText="1"/>
      <protection locked="0"/>
    </xf>
    <xf numFmtId="4" fontId="6" fillId="0" borderId="2" xfId="0" applyNumberFormat="1" applyFont="1" applyFill="1" applyBorder="1" applyAlignment="1" applyProtection="1">
      <alignment wrapText="1"/>
      <protection locked="0"/>
    </xf>
    <xf numFmtId="0" fontId="5" fillId="0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4" fontId="5" fillId="3" borderId="0" xfId="0" applyNumberFormat="1" applyFont="1" applyFill="1" applyAlignment="1" applyProtection="1">
      <alignment wrapText="1"/>
      <protection locked="0"/>
    </xf>
    <xf numFmtId="3" fontId="5" fillId="0" borderId="0" xfId="0" applyNumberFormat="1" applyFont="1" applyAlignment="1" applyProtection="1">
      <alignment wrapText="1"/>
      <protection locked="0"/>
    </xf>
    <xf numFmtId="14" fontId="5" fillId="4" borderId="0" xfId="0" applyNumberFormat="1" applyFont="1" applyFill="1" applyAlignment="1" applyProtection="1">
      <alignment wrapText="1"/>
      <protection locked="0"/>
    </xf>
    <xf numFmtId="14" fontId="5" fillId="3" borderId="0" xfId="0" applyNumberFormat="1" applyFont="1" applyFill="1" applyAlignment="1" applyProtection="1">
      <alignment wrapText="1"/>
      <protection locked="0"/>
    </xf>
    <xf numFmtId="14" fontId="5" fillId="0" borderId="0" xfId="0" applyNumberFormat="1" applyFont="1" applyAlignment="1" applyProtection="1">
      <alignment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5" fillId="3" borderId="0" xfId="0" applyFont="1" applyFill="1" applyAlignment="1" applyProtection="1">
      <alignment wrapText="1"/>
      <protection locked="0"/>
    </xf>
    <xf numFmtId="3" fontId="5" fillId="0" borderId="0" xfId="0" applyNumberFormat="1" applyFont="1" applyFill="1" applyBorder="1" applyAlignment="1" applyProtection="1">
      <alignment wrapText="1"/>
      <protection locked="0"/>
    </xf>
    <xf numFmtId="14" fontId="5" fillId="4" borderId="0" xfId="0" applyNumberFormat="1" applyFont="1" applyFill="1" applyBorder="1" applyAlignment="1" applyProtection="1">
      <alignment wrapText="1"/>
      <protection locked="0"/>
    </xf>
    <xf numFmtId="14" fontId="5" fillId="3" borderId="0" xfId="0" applyNumberFormat="1" applyFont="1" applyFill="1" applyBorder="1" applyAlignment="1" applyProtection="1">
      <alignment wrapText="1"/>
      <protection locked="0"/>
    </xf>
    <xf numFmtId="4" fontId="5" fillId="3" borderId="0" xfId="0" applyNumberFormat="1" applyFont="1" applyFill="1" applyBorder="1" applyAlignment="1" applyProtection="1">
      <alignment wrapText="1"/>
      <protection locked="0"/>
    </xf>
    <xf numFmtId="0" fontId="5" fillId="0" borderId="0" xfId="0" applyFont="1" applyFill="1" applyAlignment="1" applyProtection="1">
      <alignment wrapText="1"/>
      <protection locked="0"/>
    </xf>
    <xf numFmtId="9" fontId="5" fillId="0" borderId="0" xfId="2" applyFont="1" applyAlignment="1" applyProtection="1">
      <alignment wrapText="1"/>
      <protection locked="0"/>
    </xf>
    <xf numFmtId="9" fontId="5" fillId="0" borderId="0" xfId="2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4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6" fontId="0" fillId="0" borderId="0" xfId="2" applyNumberFormat="1" applyFont="1" applyProtection="1"/>
    <xf numFmtId="166" fontId="0" fillId="0" borderId="4" xfId="2" applyNumberFormat="1" applyFont="1" applyBorder="1" applyAlignment="1">
      <alignment horizontal="center" vertical="center" wrapText="1"/>
    </xf>
    <xf numFmtId="166" fontId="5" fillId="3" borderId="0" xfId="2" applyNumberFormat="1" applyFont="1" applyFill="1" applyProtection="1">
      <protection locked="0"/>
    </xf>
    <xf numFmtId="166" fontId="5" fillId="3" borderId="0" xfId="2" applyNumberFormat="1" applyFont="1" applyFill="1" applyAlignment="1" applyProtection="1">
      <alignment wrapText="1"/>
      <protection locked="0"/>
    </xf>
    <xf numFmtId="166" fontId="0" fillId="3" borderId="0" xfId="2" applyNumberFormat="1" applyFont="1" applyFill="1" applyProtection="1">
      <protection locked="0"/>
    </xf>
    <xf numFmtId="0" fontId="5" fillId="7" borderId="5" xfId="0" applyFont="1" applyFill="1" applyBorder="1" applyProtection="1"/>
    <xf numFmtId="0" fontId="0" fillId="0" borderId="0" xfId="0" applyFill="1"/>
    <xf numFmtId="0" fontId="12" fillId="5" borderId="0" xfId="0" applyFont="1" applyFill="1"/>
    <xf numFmtId="0" fontId="13" fillId="0" borderId="0" xfId="4"/>
    <xf numFmtId="167" fontId="5" fillId="0" borderId="0" xfId="0" applyNumberFormat="1" applyFont="1" applyAlignment="1" applyProtection="1">
      <alignment wrapText="1"/>
      <protection locked="0"/>
    </xf>
    <xf numFmtId="14" fontId="6" fillId="0" borderId="0" xfId="0" applyNumberFormat="1" applyFont="1" applyFill="1" applyProtection="1">
      <protection locked="0"/>
    </xf>
    <xf numFmtId="0" fontId="12" fillId="0" borderId="0" xfId="0" applyFont="1" applyFill="1" applyAlignment="1">
      <alignment horizontal="left" indent="1"/>
    </xf>
    <xf numFmtId="168" fontId="7" fillId="5" borderId="0" xfId="0" applyNumberFormat="1" applyFont="1" applyFill="1" applyAlignment="1">
      <alignment horizontal="center" vertical="center"/>
    </xf>
    <xf numFmtId="0" fontId="5" fillId="8" borderId="0" xfId="0" applyFont="1" applyFill="1" applyBorder="1" applyProtection="1">
      <protection locked="0"/>
    </xf>
    <xf numFmtId="0" fontId="15" fillId="9" borderId="0" xfId="0" applyFont="1" applyFill="1" applyProtection="1"/>
    <xf numFmtId="9" fontId="15" fillId="9" borderId="0" xfId="2" applyFont="1" applyFill="1" applyProtection="1"/>
    <xf numFmtId="0" fontId="9" fillId="0" borderId="0" xfId="0" applyFont="1" applyFill="1" applyProtection="1"/>
    <xf numFmtId="0" fontId="9" fillId="0" borderId="0" xfId="0" applyFont="1" applyFill="1" applyBorder="1" applyProtection="1"/>
    <xf numFmtId="166" fontId="9" fillId="0" borderId="0" xfId="2" applyNumberFormat="1" applyFont="1" applyFill="1" applyProtection="1"/>
    <xf numFmtId="0" fontId="9" fillId="0" borderId="0" xfId="0" applyFont="1" applyFill="1" applyAlignment="1" applyProtection="1">
      <alignment vertical="center"/>
    </xf>
    <xf numFmtId="0" fontId="9" fillId="0" borderId="0" xfId="0" applyFont="1" applyProtection="1"/>
    <xf numFmtId="0" fontId="9" fillId="0" borderId="0" xfId="0" applyFont="1" applyBorder="1" applyProtection="1"/>
    <xf numFmtId="166" fontId="9" fillId="0" borderId="0" xfId="2" applyNumberFormat="1" applyFont="1" applyProtection="1"/>
    <xf numFmtId="14" fontId="16" fillId="5" borderId="0" xfId="0" applyNumberFormat="1" applyFont="1" applyFill="1"/>
    <xf numFmtId="0" fontId="14" fillId="5" borderId="0" xfId="0" applyNumberFormat="1" applyFont="1" applyFill="1" applyAlignment="1">
      <alignment horizontal="center" vertical="center"/>
    </xf>
  </cellXfs>
  <cellStyles count="5">
    <cellStyle name="Currency" xfId="1" builtinId="4"/>
    <cellStyle name="Heading 3" xfId="3" builtinId="18"/>
    <cellStyle name="Hyperlink" xfId="4" builtinId="8"/>
    <cellStyle name="Normal" xfId="0" builtinId="0"/>
    <cellStyle name="Percent" xfId="2" builtinId="5"/>
  </cellStyles>
  <dxfs count="46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minor"/>
      </font>
      <fill>
        <patternFill patternType="solid">
          <fgColor indexed="64"/>
          <bgColor theme="9" tint="-0.499984740745262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16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981B9"/>
      <color rgb="FFE6834F"/>
      <color rgb="FF9DA85E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283524547611221E-2"/>
          <c:y val="0.12243285939968404"/>
          <c:w val="0.91426940426772896"/>
          <c:h val="0.68922391810028505"/>
        </c:manualLayout>
      </c:layout>
      <c:lineChart>
        <c:grouping val="standard"/>
        <c:varyColors val="0"/>
        <c:ser>
          <c:idx val="0"/>
          <c:order val="0"/>
          <c:tx>
            <c:strRef>
              <c:f>Invoice!$T$7</c:f>
              <c:strCache>
                <c:ptCount val="1"/>
                <c:pt idx="0">
                  <c:v>Net Amount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&quot;₹&quot;\ #,##0.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Invoice!$C$8:$C$41</c:f>
              <c:strCache>
                <c:ptCount val="34"/>
                <c:pt idx="0">
                  <c:v>Eclerx</c:v>
                </c:pt>
                <c:pt idx="1">
                  <c:v>Accenture</c:v>
                </c:pt>
                <c:pt idx="2">
                  <c:v>IA</c:v>
                </c:pt>
                <c:pt idx="3">
                  <c:v>Amzon</c:v>
                </c:pt>
                <c:pt idx="4">
                  <c:v>facebook</c:v>
                </c:pt>
                <c:pt idx="5">
                  <c:v>Google </c:v>
                </c:pt>
                <c:pt idx="6">
                  <c:v>TATA</c:v>
                </c:pt>
                <c:pt idx="7">
                  <c:v>TCS</c:v>
                </c:pt>
                <c:pt idx="8">
                  <c:v>SBI</c:v>
                </c:pt>
                <c:pt idx="9">
                  <c:v>HDFC</c:v>
                </c:pt>
                <c:pt idx="10">
                  <c:v>ICICI</c:v>
                </c:pt>
                <c:pt idx="11">
                  <c:v>Eclerx</c:v>
                </c:pt>
                <c:pt idx="12">
                  <c:v>Accenture</c:v>
                </c:pt>
                <c:pt idx="13">
                  <c:v>IA</c:v>
                </c:pt>
                <c:pt idx="14">
                  <c:v>Amzon</c:v>
                </c:pt>
                <c:pt idx="15">
                  <c:v>facebook</c:v>
                </c:pt>
                <c:pt idx="16">
                  <c:v>Google </c:v>
                </c:pt>
                <c:pt idx="17">
                  <c:v>TATA</c:v>
                </c:pt>
                <c:pt idx="18">
                  <c:v>TCS</c:v>
                </c:pt>
                <c:pt idx="19">
                  <c:v>SBI</c:v>
                </c:pt>
                <c:pt idx="20">
                  <c:v>HDFC</c:v>
                </c:pt>
                <c:pt idx="21">
                  <c:v>ICICI</c:v>
                </c:pt>
                <c:pt idx="22">
                  <c:v>IA</c:v>
                </c:pt>
                <c:pt idx="23">
                  <c:v>Amzon</c:v>
                </c:pt>
                <c:pt idx="24">
                  <c:v>facebook</c:v>
                </c:pt>
                <c:pt idx="25">
                  <c:v>Google </c:v>
                </c:pt>
                <c:pt idx="26">
                  <c:v>TATA</c:v>
                </c:pt>
                <c:pt idx="27">
                  <c:v>TCS</c:v>
                </c:pt>
                <c:pt idx="28">
                  <c:v>Google </c:v>
                </c:pt>
                <c:pt idx="29">
                  <c:v>TATA</c:v>
                </c:pt>
                <c:pt idx="30">
                  <c:v>TCS</c:v>
                </c:pt>
                <c:pt idx="31">
                  <c:v>SBI</c:v>
                </c:pt>
                <c:pt idx="32">
                  <c:v>HDFC</c:v>
                </c:pt>
                <c:pt idx="33">
                  <c:v>ICICI</c:v>
                </c:pt>
              </c:strCache>
            </c:strRef>
          </c:cat>
          <c:val>
            <c:numRef>
              <c:f>Invoice!$T$8:$T$41</c:f>
              <c:numCache>
                <c:formatCode>#,##0.00</c:formatCode>
                <c:ptCount val="34"/>
                <c:pt idx="0">
                  <c:v>3781.8</c:v>
                </c:pt>
                <c:pt idx="1">
                  <c:v>3761.25</c:v>
                </c:pt>
                <c:pt idx="2">
                  <c:v>840</c:v>
                </c:pt>
                <c:pt idx="3">
                  <c:v>4500</c:v>
                </c:pt>
                <c:pt idx="4">
                  <c:v>2100</c:v>
                </c:pt>
                <c:pt idx="5">
                  <c:v>3750</c:v>
                </c:pt>
                <c:pt idx="6">
                  <c:v>10689.067707547169</c:v>
                </c:pt>
                <c:pt idx="7">
                  <c:v>2738.21</c:v>
                </c:pt>
                <c:pt idx="8">
                  <c:v>840</c:v>
                </c:pt>
                <c:pt idx="9">
                  <c:v>1680</c:v>
                </c:pt>
                <c:pt idx="10">
                  <c:v>1680</c:v>
                </c:pt>
                <c:pt idx="11">
                  <c:v>1680</c:v>
                </c:pt>
                <c:pt idx="12">
                  <c:v>4000</c:v>
                </c:pt>
                <c:pt idx="13">
                  <c:v>3000</c:v>
                </c:pt>
                <c:pt idx="14">
                  <c:v>2400</c:v>
                </c:pt>
                <c:pt idx="15">
                  <c:v>3060</c:v>
                </c:pt>
                <c:pt idx="16">
                  <c:v>1375</c:v>
                </c:pt>
                <c:pt idx="17">
                  <c:v>4000</c:v>
                </c:pt>
                <c:pt idx="18">
                  <c:v>840</c:v>
                </c:pt>
                <c:pt idx="19">
                  <c:v>3600</c:v>
                </c:pt>
                <c:pt idx="20">
                  <c:v>3600</c:v>
                </c:pt>
                <c:pt idx="21">
                  <c:v>2700</c:v>
                </c:pt>
                <c:pt idx="22">
                  <c:v>1800</c:v>
                </c:pt>
                <c:pt idx="23">
                  <c:v>9900</c:v>
                </c:pt>
                <c:pt idx="24">
                  <c:v>4500</c:v>
                </c:pt>
                <c:pt idx="25">
                  <c:v>1800</c:v>
                </c:pt>
                <c:pt idx="26">
                  <c:v>800</c:v>
                </c:pt>
                <c:pt idx="27">
                  <c:v>1800</c:v>
                </c:pt>
                <c:pt idx="28">
                  <c:v>1800</c:v>
                </c:pt>
                <c:pt idx="29">
                  <c:v>5130</c:v>
                </c:pt>
                <c:pt idx="30">
                  <c:v>1800</c:v>
                </c:pt>
                <c:pt idx="31">
                  <c:v>6750</c:v>
                </c:pt>
                <c:pt idx="32">
                  <c:v>5562.5</c:v>
                </c:pt>
                <c:pt idx="33">
                  <c:v>4800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Invoice!$Y$7</c:f>
              <c:strCache>
                <c:ptCount val="1"/>
                <c:pt idx="0">
                  <c:v>Status</c:v>
                </c:pt>
              </c:strCache>
            </c:strRef>
          </c:tx>
          <c:spPr>
            <a:ln w="1238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Invoice!$C$8:$C$41</c:f>
              <c:strCache>
                <c:ptCount val="34"/>
                <c:pt idx="0">
                  <c:v>Eclerx</c:v>
                </c:pt>
                <c:pt idx="1">
                  <c:v>Accenture</c:v>
                </c:pt>
                <c:pt idx="2">
                  <c:v>IA</c:v>
                </c:pt>
                <c:pt idx="3">
                  <c:v>Amzon</c:v>
                </c:pt>
                <c:pt idx="4">
                  <c:v>facebook</c:v>
                </c:pt>
                <c:pt idx="5">
                  <c:v>Google </c:v>
                </c:pt>
                <c:pt idx="6">
                  <c:v>TATA</c:v>
                </c:pt>
                <c:pt idx="7">
                  <c:v>TCS</c:v>
                </c:pt>
                <c:pt idx="8">
                  <c:v>SBI</c:v>
                </c:pt>
                <c:pt idx="9">
                  <c:v>HDFC</c:v>
                </c:pt>
                <c:pt idx="10">
                  <c:v>ICICI</c:v>
                </c:pt>
                <c:pt idx="11">
                  <c:v>Eclerx</c:v>
                </c:pt>
                <c:pt idx="12">
                  <c:v>Accenture</c:v>
                </c:pt>
                <c:pt idx="13">
                  <c:v>IA</c:v>
                </c:pt>
                <c:pt idx="14">
                  <c:v>Amzon</c:v>
                </c:pt>
                <c:pt idx="15">
                  <c:v>facebook</c:v>
                </c:pt>
                <c:pt idx="16">
                  <c:v>Google </c:v>
                </c:pt>
                <c:pt idx="17">
                  <c:v>TATA</c:v>
                </c:pt>
                <c:pt idx="18">
                  <c:v>TCS</c:v>
                </c:pt>
                <c:pt idx="19">
                  <c:v>SBI</c:v>
                </c:pt>
                <c:pt idx="20">
                  <c:v>HDFC</c:v>
                </c:pt>
                <c:pt idx="21">
                  <c:v>ICICI</c:v>
                </c:pt>
                <c:pt idx="22">
                  <c:v>IA</c:v>
                </c:pt>
                <c:pt idx="23">
                  <c:v>Amzon</c:v>
                </c:pt>
                <c:pt idx="24">
                  <c:v>facebook</c:v>
                </c:pt>
                <c:pt idx="25">
                  <c:v>Google </c:v>
                </c:pt>
                <c:pt idx="26">
                  <c:v>TATA</c:v>
                </c:pt>
                <c:pt idx="27">
                  <c:v>TCS</c:v>
                </c:pt>
                <c:pt idx="28">
                  <c:v>Google </c:v>
                </c:pt>
                <c:pt idx="29">
                  <c:v>TATA</c:v>
                </c:pt>
                <c:pt idx="30">
                  <c:v>TCS</c:v>
                </c:pt>
                <c:pt idx="31">
                  <c:v>SBI</c:v>
                </c:pt>
                <c:pt idx="32">
                  <c:v>HDFC</c:v>
                </c:pt>
                <c:pt idx="33">
                  <c:v>ICICI</c:v>
                </c:pt>
              </c:strCache>
            </c:strRef>
          </c:cat>
          <c:val>
            <c:numRef>
              <c:f>Invoice!$Y$8:$Y$41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01181960"/>
        <c:axId val="334300664"/>
      </c:lineChart>
      <c:catAx>
        <c:axId val="401181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300664"/>
        <c:crosses val="autoZero"/>
        <c:auto val="1"/>
        <c:lblAlgn val="ctr"/>
        <c:lblOffset val="100"/>
        <c:noMultiLvlLbl val="0"/>
      </c:catAx>
      <c:valAx>
        <c:axId val="334300664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18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6.svg"/><Relationship Id="rId1" Type="http://schemas.openxmlformats.org/officeDocument/2006/relationships/image" Target="../media/image8.png"/><Relationship Id="rId4" Type="http://schemas.openxmlformats.org/officeDocument/2006/relationships/image" Target="../media/image18.sv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391584</xdr:colOff>
      <xdr:row>14</xdr:row>
      <xdr:rowOff>100541</xdr:rowOff>
    </xdr:from>
    <xdr:to>
      <xdr:col>9</xdr:col>
      <xdr:colOff>476250</xdr:colOff>
      <xdr:row>17</xdr:row>
      <xdr:rowOff>42052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pSpPr/>
      </xdr:nvGrpSpPr>
      <xdr:grpSpPr>
        <a:xfrm>
          <a:off x="6700944" y="2676101"/>
          <a:ext cx="1646766" cy="474911"/>
          <a:chOff x="6656915" y="3111499"/>
          <a:chExt cx="1645708" cy="45480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xmlns="" id="{00000000-0008-0000-0000-00000C180000}"/>
                  </a:ext>
                </a:extLst>
              </xdr:cNvPr>
              <xdr:cNvSpPr/>
            </xdr:nvSpPr>
            <xdr:spPr bwMode="auto">
              <a:xfrm>
                <a:off x="6656915" y="3111499"/>
                <a:ext cx="1645708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xmlns="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6744465" y="3113613"/>
            <a:ext cx="457457" cy="4444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17</xdr:row>
      <xdr:rowOff>147638</xdr:rowOff>
    </xdr:from>
    <xdr:to>
      <xdr:col>9</xdr:col>
      <xdr:colOff>466725</xdr:colOff>
      <xdr:row>20</xdr:row>
      <xdr:rowOff>52916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pSpPr/>
      </xdr:nvGrpSpPr>
      <xdr:grpSpPr>
        <a:xfrm>
          <a:off x="6695123" y="3256598"/>
          <a:ext cx="1643062" cy="438678"/>
          <a:chOff x="6651089" y="3671822"/>
          <a:chExt cx="1642004" cy="41857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xmlns="" id="{00000000-0008-0000-0000-00000D180000}"/>
                  </a:ext>
                </a:extLst>
              </xdr:cNvPr>
              <xdr:cNvSpPr/>
            </xdr:nvSpPr>
            <xdr:spPr bwMode="auto">
              <a:xfrm>
                <a:off x="6651089" y="3671822"/>
                <a:ext cx="1642004" cy="4185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6741580" y="3738166"/>
            <a:ext cx="342899" cy="32024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550332</xdr:colOff>
      <xdr:row>17</xdr:row>
      <xdr:rowOff>78848</xdr:rowOff>
    </xdr:from>
    <xdr:to>
      <xdr:col>5</xdr:col>
      <xdr:colOff>548746</xdr:colOff>
      <xdr:row>20</xdr:row>
      <xdr:rowOff>23284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pSpPr/>
      </xdr:nvGrpSpPr>
      <xdr:grpSpPr>
        <a:xfrm>
          <a:off x="2782992" y="3187808"/>
          <a:ext cx="1560514" cy="477836"/>
          <a:chOff x="2677577" y="3703574"/>
          <a:chExt cx="1559452" cy="4577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xmlns="" id="{00000000-0008-0000-0000-00000E180000}"/>
                  </a:ext>
                </a:extLst>
              </xdr:cNvPr>
              <xdr:cNvSpPr/>
            </xdr:nvSpPr>
            <xdr:spPr bwMode="auto">
              <a:xfrm>
                <a:off x="2677577" y="3703574"/>
                <a:ext cx="1559452" cy="4577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0" name="Graphic 9" descr="Table">
            <a:extLst>
              <a:ext uri="{FF2B5EF4-FFF2-40B4-BE49-F238E27FC236}">
                <a16:creationId xmlns:a16="http://schemas.microsoft.com/office/drawing/2014/main" xmlns="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2778126" y="3757084"/>
            <a:ext cx="371475" cy="34395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68792</xdr:colOff>
      <xdr:row>2</xdr:row>
      <xdr:rowOff>169334</xdr:rowOff>
    </xdr:from>
    <xdr:to>
      <xdr:col>3</xdr:col>
      <xdr:colOff>983192</xdr:colOff>
      <xdr:row>5</xdr:row>
      <xdr:rowOff>150284</xdr:rowOff>
    </xdr:to>
    <xdr:pic>
      <xdr:nvPicPr>
        <xdr:cNvPr id="11" name="Graphic 10" descr="Money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8"/>
            </a:ext>
          </a:extLst>
        </a:blip>
        <a:stretch>
          <a:fillRect/>
        </a:stretch>
      </xdr:blipFill>
      <xdr:spPr>
        <a:xfrm>
          <a:off x="1111251" y="518584"/>
          <a:ext cx="914400" cy="912283"/>
        </a:xfrm>
        <a:prstGeom prst="rect">
          <a:avLst/>
        </a:prstGeom>
      </xdr:spPr>
    </xdr:pic>
    <xdr:clientData/>
  </xdr:twoCellAnchor>
  <xdr:twoCellAnchor editAs="oneCell">
    <xdr:from>
      <xdr:col>6</xdr:col>
      <xdr:colOff>661459</xdr:colOff>
      <xdr:row>3</xdr:row>
      <xdr:rowOff>0</xdr:rowOff>
    </xdr:from>
    <xdr:to>
      <xdr:col>7</xdr:col>
      <xdr:colOff>890059</xdr:colOff>
      <xdr:row>6</xdr:row>
      <xdr:rowOff>16934</xdr:rowOff>
    </xdr:to>
    <xdr:pic>
      <xdr:nvPicPr>
        <xdr:cNvPr id="13" name="Graphic 12" descr="Download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0"/>
            </a:ext>
          </a:extLst>
        </a:blip>
        <a:stretch>
          <a:fillRect/>
        </a:stretch>
      </xdr:blipFill>
      <xdr:spPr>
        <a:xfrm>
          <a:off x="5095876" y="566209"/>
          <a:ext cx="916516" cy="900642"/>
        </a:xfrm>
        <a:prstGeom prst="rect">
          <a:avLst/>
        </a:prstGeom>
      </xdr:spPr>
    </xdr:pic>
    <xdr:clientData/>
  </xdr:twoCellAnchor>
  <xdr:twoCellAnchor editAs="oneCell">
    <xdr:from>
      <xdr:col>10</xdr:col>
      <xdr:colOff>677334</xdr:colOff>
      <xdr:row>3</xdr:row>
      <xdr:rowOff>31750</xdr:rowOff>
    </xdr:from>
    <xdr:to>
      <xdr:col>11</xdr:col>
      <xdr:colOff>903817</xdr:colOff>
      <xdr:row>6</xdr:row>
      <xdr:rowOff>50800</xdr:rowOff>
    </xdr:to>
    <xdr:pic>
      <xdr:nvPicPr>
        <xdr:cNvPr id="14" name="Graphic 13" descr="Teacher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2"/>
            </a:ext>
          </a:extLst>
        </a:blip>
        <a:stretch>
          <a:fillRect/>
        </a:stretch>
      </xdr:blipFill>
      <xdr:spPr>
        <a:xfrm>
          <a:off x="9191626" y="597959"/>
          <a:ext cx="914400" cy="902758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30</xdr:row>
      <xdr:rowOff>50800</xdr:rowOff>
    </xdr:from>
    <xdr:to>
      <xdr:col>3</xdr:col>
      <xdr:colOff>270934</xdr:colOff>
      <xdr:row>30</xdr:row>
      <xdr:rowOff>135467</xdr:rowOff>
    </xdr:to>
    <xdr:sp macro="" textlink="">
      <xdr:nvSpPr>
        <xdr:cNvPr id="6" name="Rectangle 5"/>
        <xdr:cNvSpPr/>
      </xdr:nvSpPr>
      <xdr:spPr>
        <a:xfrm>
          <a:off x="1143000" y="5689600"/>
          <a:ext cx="220134" cy="84667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739140</xdr:colOff>
      <xdr:row>27</xdr:row>
      <xdr:rowOff>15240</xdr:rowOff>
    </xdr:from>
    <xdr:to>
      <xdr:col>14</xdr:col>
      <xdr:colOff>7620</xdr:colOff>
      <xdr:row>45</xdr:row>
      <xdr:rowOff>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77029</xdr:colOff>
      <xdr:row>0</xdr:row>
      <xdr:rowOff>57150</xdr:rowOff>
    </xdr:from>
    <xdr:to>
      <xdr:col>2</xdr:col>
      <xdr:colOff>200025</xdr:colOff>
      <xdr:row>3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pSpPr/>
      </xdr:nvGrpSpPr>
      <xdr:grpSpPr>
        <a:xfrm>
          <a:off x="77029" y="57150"/>
          <a:ext cx="1780346" cy="657225"/>
          <a:chOff x="77029" y="114300"/>
          <a:chExt cx="1780346" cy="6572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xmlns="" id="{00000000-0008-0000-0100-0000011C0000}"/>
                  </a:ext>
                </a:extLst>
              </xdr:cNvPr>
              <xdr:cNvSpPr/>
            </xdr:nvSpPr>
            <xdr:spPr bwMode="auto">
              <a:xfrm>
                <a:off x="585787" y="233363"/>
                <a:ext cx="1271588" cy="4619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77029" y="114300"/>
            <a:ext cx="742950" cy="6572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1363980</xdr:colOff>
          <xdr:row>4</xdr:row>
          <xdr:rowOff>251460</xdr:rowOff>
        </xdr:from>
        <xdr:to>
          <xdr:col>2</xdr:col>
          <xdr:colOff>1264920</xdr:colOff>
          <xdr:row>6</xdr:row>
          <xdr:rowOff>15240</xdr:rowOff>
        </xdr:to>
        <xdr:sp macro="" textlink="">
          <xdr:nvSpPr>
            <xdr:cNvPr id="7171" name="AXcbHidePai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114300</xdr:colOff>
      <xdr:row>3</xdr:row>
      <xdr:rowOff>423861</xdr:rowOff>
    </xdr:from>
    <xdr:to>
      <xdr:col>1</xdr:col>
      <xdr:colOff>838200</xdr:colOff>
      <xdr:row>6</xdr:row>
      <xdr:rowOff>157162</xdr:rowOff>
    </xdr:to>
    <xdr:pic macro="[0]!View_Overview">
      <xdr:nvPicPr>
        <xdr:cNvPr id="4" name="Graphic 3" descr="Arrow: Straight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>
          <a:off x="114300" y="938211"/>
          <a:ext cx="914400" cy="6667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InvoiceTable" displayName="InvoiceTable" ref="B7:AA41" totalsRowShown="0" headerRowDxfId="38" dataDxfId="36" headerRowBorderDxfId="37">
  <tableColumns count="26">
    <tableColumn id="1" name="Customer" dataDxfId="35"/>
    <tableColumn id="2" name="Company" dataDxfId="34"/>
    <tableColumn id="3" name="Address Line 1" dataDxfId="33"/>
    <tableColumn id="4" name="Address Line 2" dataDxfId="32"/>
    <tableColumn id="5" name="Address Line 3" dataDxfId="31"/>
    <tableColumn id="6" name="UID" dataDxfId="30"/>
    <tableColumn id="22" name="VAT" dataDxfId="29" dataCellStyle="Percent"/>
    <tableColumn id="7" name="Services Line 1" dataDxfId="28"/>
    <tableColumn id="8" name="Date Line 1" dataDxfId="27"/>
    <tableColumn id="9" name="Amount Line 1" dataDxfId="26"/>
    <tableColumn id="10" name="Services Line 2" dataDxfId="25"/>
    <tableColumn id="11" name="Date Line 2" dataDxfId="24"/>
    <tableColumn id="12" name="Amount Line 2" dataDxfId="23"/>
    <tableColumn id="13" name="Services Line 3" dataDxfId="22"/>
    <tableColumn id="14" name="Date Line 3" dataDxfId="21"/>
    <tableColumn id="15" name="Amount Line 3" dataDxfId="20"/>
    <tableColumn id="19" name="Agreed Amount Total" dataDxfId="19">
      <calculatedColumnFormula>InvoiceTable[[#This Row],[Amount Line 1]]+InvoiceTable[[#This Row],[Amount Line 2]]+InvoiceTable[[#This Row],[Amount Line 3]]</calculatedColumnFormula>
    </tableColumn>
    <tableColumn id="20" name="Additional Expenses" dataDxfId="18"/>
    <tableColumn id="21" name="Net Amount" dataDxfId="17">
      <calculatedColumnFormula>SUM(InvoiceTable[[#This Row],[Agreed Amount Total]:[Additional Expenses]])</calculatedColumnFormula>
    </tableColumn>
    <tableColumn id="23" name="Final Invoiced Amount" dataDxfId="16">
      <calculatedColumnFormula>InvoiceTable[[#This Row],[Net Amount]]+InvoiceTable[[#This Row],[VAT to Pay]]</calculatedColumnFormula>
    </tableColumn>
    <tableColumn id="24" name="Invoice number" dataDxfId="15"/>
    <tableColumn id="25" name="Invoice Date" dataDxfId="14"/>
    <tableColumn id="26" name="Due by" dataDxfId="13">
      <calculatedColumnFormula>IF(InvoiceTable[[#This Row],[Invoice Date]]="","",WORKDAY(InvoiceTable[[#This Row],[Invoice Date]],14))</calculatedColumnFormula>
    </tableColumn>
    <tableColumn id="27" name="Status" dataDxfId="12"/>
    <tableColumn id="28" name="Date Paid" dataDxfId="11"/>
    <tableColumn id="29" name="VAT to Pay" dataDxfId="10">
      <calculatedColumnFormula>InvoiceTable[[#This Row],[Net Amount]]*InvoiceTable[[#This Row],[VAT]]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id="1" name="CustomerTable" displayName="CustomerTable" ref="A1:H34" totalsRowShown="0" headerRowDxfId="9" dataDxfId="8">
  <tableColumns count="8">
    <tableColumn id="1" name="Customer" dataDxfId="7"/>
    <tableColumn id="2" name="Company" dataDxfId="6"/>
    <tableColumn id="3" name="Address Line 1" dataDxfId="5"/>
    <tableColumn id="4" name="Address Line 2" dataDxfId="4"/>
    <tableColumn id="5" name="Address Line 3" dataDxfId="3"/>
    <tableColumn id="6" name="UID" dataDxfId="2"/>
    <tableColumn id="7" name="VAT" dataDxfId="1" dataCellStyle="Percent"/>
    <tableColumn id="8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Kushaltripa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sh">
    <tabColor theme="1" tint="0.34998626667073579"/>
  </sheetPr>
  <dimension ref="A1:XFC57"/>
  <sheetViews>
    <sheetView showGridLines="0" showRowColHeaders="0" tabSelected="1" zoomScaleNormal="100" workbookViewId="0">
      <selection activeCell="G10" sqref="G10"/>
    </sheetView>
  </sheetViews>
  <sheetFormatPr defaultColWidth="0" defaultRowHeight="13.8" zeroHeight="1" x14ac:dyDescent="0.25"/>
  <cols>
    <col min="1" max="1" width="1.59765625" customWidth="1"/>
    <col min="2" max="2" width="2.3984375" customWidth="1"/>
    <col min="3" max="3" width="10.296875" bestFit="1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3" width="9" hidden="1"/>
    <col min="16384" max="16384" width="3.8984375" hidden="1" customWidth="1"/>
  </cols>
  <sheetData>
    <row r="1" spans="1:22" x14ac:dyDescent="0.25">
      <c r="A1" s="8"/>
      <c r="B1" s="8"/>
      <c r="C1" s="85">
        <f ca="1">TODAY()</f>
        <v>44527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ht="14.25" customHeight="1" x14ac:dyDescent="0.25">
      <c r="A2" s="8"/>
      <c r="B2" s="8"/>
      <c r="C2" s="86">
        <f ca="1">YEAR(C1)</f>
        <v>2021</v>
      </c>
      <c r="D2" s="9"/>
      <c r="E2" s="9"/>
      <c r="F2" s="9"/>
      <c r="G2" s="8"/>
      <c r="H2" s="9"/>
      <c r="I2" s="9"/>
      <c r="J2" s="9"/>
      <c r="K2" s="8"/>
      <c r="L2" s="9"/>
      <c r="M2" s="9"/>
      <c r="N2" s="9"/>
      <c r="O2" s="8"/>
      <c r="P2" s="8"/>
      <c r="Q2" s="8"/>
      <c r="R2" s="8"/>
      <c r="S2" s="8"/>
      <c r="T2" s="8"/>
      <c r="U2" s="8"/>
      <c r="V2" s="8"/>
    </row>
    <row r="3" spans="1:22" ht="17.25" customHeight="1" x14ac:dyDescent="0.25">
      <c r="A3" s="8"/>
      <c r="B3" s="8"/>
      <c r="C3" s="86"/>
      <c r="D3" s="69" t="s">
        <v>186</v>
      </c>
      <c r="E3" s="8"/>
      <c r="F3" s="8"/>
      <c r="G3" s="8"/>
      <c r="H3" s="69" t="s">
        <v>187</v>
      </c>
      <c r="I3" s="8"/>
      <c r="J3" s="8"/>
      <c r="K3" s="8"/>
      <c r="L3" s="69" t="s">
        <v>188</v>
      </c>
      <c r="M3" s="8"/>
      <c r="N3" s="8"/>
      <c r="O3" s="8"/>
      <c r="P3" s="8"/>
      <c r="Q3" s="8"/>
      <c r="R3" s="8"/>
      <c r="S3" s="8"/>
      <c r="T3" s="8"/>
      <c r="U3" s="8"/>
      <c r="V3" s="8"/>
    </row>
    <row r="4" spans="1:22" ht="17.25" customHeight="1" x14ac:dyDescent="0.25">
      <c r="A4" s="8"/>
      <c r="B4" s="8"/>
      <c r="C4" s="12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</row>
    <row r="5" spans="1:22" ht="39" customHeight="1" x14ac:dyDescent="0.25">
      <c r="A5" s="8"/>
      <c r="B5" s="8"/>
      <c r="C5" s="8"/>
      <c r="D5" s="8"/>
      <c r="E5" s="74">
        <f ca="1">SUMIFS(InvoiceTable[Net Amount],InvoiceTable[Invoice Date],"&gt;="&amp;DATE(Dashboard!C2,1,1),InvoiceTable[Invoice Date],"&lt;"&amp;DATE(Dashboard!C2+1,1,1),InvoiceTable[Status],"paid")</f>
        <v>99635.327707547171</v>
      </c>
      <c r="F5" s="8"/>
      <c r="G5" s="8"/>
      <c r="H5" s="8"/>
      <c r="I5" s="74">
        <f ca="1">SUMIFS(InvoiceTable[Net Amount],InvoiceTable[Invoice Date],"&gt;="&amp;DATE(Dashboard!C2,1,1),InvoiceTable[Invoice Date],"&lt;"&amp;DATE(Dashboard!C2+1,1,1),InvoiceTable[Status],"&lt;&gt;paid")</f>
        <v>13422.5</v>
      </c>
      <c r="J5" s="8"/>
      <c r="K5" s="8"/>
      <c r="L5" s="8"/>
      <c r="M5" s="11">
        <f ca="1">COUNTIFS(InvoiceTable[Invoice Date],"&gt;="&amp;DATE(Dashboard!C2,1,1),InvoiceTable[Invoice Date],"&lt;"&amp;DATE(Dashboard!C2+1,1,1))</f>
        <v>34</v>
      </c>
      <c r="N5" s="8"/>
      <c r="O5" s="8"/>
      <c r="P5" s="8"/>
      <c r="Q5" s="8"/>
      <c r="R5" s="8"/>
      <c r="S5" s="8"/>
      <c r="T5" s="8"/>
      <c r="U5" s="8"/>
      <c r="V5" s="8"/>
    </row>
    <row r="6" spans="1:22" x14ac:dyDescent="0.25">
      <c r="A6" s="8"/>
      <c r="B6" s="8"/>
      <c r="C6" s="8"/>
      <c r="D6" s="9"/>
      <c r="E6" s="9"/>
      <c r="F6" s="9"/>
      <c r="G6" s="8"/>
      <c r="H6" s="9"/>
      <c r="I6" s="9"/>
      <c r="J6" s="9"/>
      <c r="K6" s="8"/>
      <c r="L6" s="9"/>
      <c r="M6" s="9"/>
      <c r="N6" s="9"/>
      <c r="O6" s="8"/>
      <c r="P6" s="8"/>
      <c r="Q6" s="8"/>
      <c r="R6" s="8"/>
      <c r="S6" s="8"/>
      <c r="T6" s="8"/>
      <c r="U6" s="8"/>
      <c r="V6" s="8"/>
    </row>
    <row r="7" spans="1:22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</row>
    <row r="8" spans="1:22" ht="11.4" hidden="1" customHeigh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 ht="11.4" hidden="1" customHeight="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</row>
    <row r="10" spans="1:22" ht="9.9" customHeigh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</row>
    <row r="11" spans="1:22" ht="9.9" customHeigh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</row>
    <row r="12" spans="1:22" ht="23.25" customHeight="1" x14ac:dyDescent="0.25">
      <c r="A12" s="8"/>
      <c r="B12" s="8"/>
      <c r="C12" s="8"/>
      <c r="D12" s="21" t="s">
        <v>240</v>
      </c>
      <c r="E12" s="13"/>
      <c r="F12" s="13"/>
      <c r="G12" s="8"/>
      <c r="H12" s="21" t="s">
        <v>191</v>
      </c>
      <c r="I12" s="13"/>
      <c r="J12" s="13"/>
      <c r="K12" s="8"/>
      <c r="L12" s="21" t="s">
        <v>220</v>
      </c>
      <c r="M12" s="13"/>
      <c r="N12" s="13"/>
      <c r="O12" s="8"/>
      <c r="P12" s="8"/>
      <c r="Q12" s="8"/>
      <c r="R12" s="8"/>
      <c r="S12" s="8"/>
      <c r="T12" s="8"/>
      <c r="U12" s="8"/>
      <c r="V12" s="8"/>
    </row>
    <row r="13" spans="1:22" ht="19.5" customHeight="1" x14ac:dyDescent="0.25">
      <c r="A13" s="8"/>
      <c r="B13" s="8"/>
      <c r="C13" s="8"/>
      <c r="D13" s="14" t="s">
        <v>241</v>
      </c>
      <c r="E13" s="13"/>
      <c r="F13" s="13"/>
      <c r="G13" s="8"/>
      <c r="H13" s="14" t="s">
        <v>218</v>
      </c>
      <c r="I13" s="13"/>
      <c r="J13" s="13"/>
      <c r="K13" s="8"/>
      <c r="L13" s="14" t="s">
        <v>221</v>
      </c>
      <c r="M13" s="13"/>
      <c r="N13" s="13"/>
      <c r="O13" s="8"/>
      <c r="P13" s="8"/>
      <c r="Q13" s="8"/>
      <c r="R13" s="8"/>
      <c r="S13" s="8"/>
      <c r="T13" s="8"/>
      <c r="U13" s="8"/>
      <c r="V13" s="8"/>
    </row>
    <row r="14" spans="1:22" x14ac:dyDescent="0.25">
      <c r="A14" s="8"/>
      <c r="B14" s="8"/>
      <c r="C14" s="8"/>
      <c r="D14" s="14" t="s">
        <v>242</v>
      </c>
      <c r="E14" s="13"/>
      <c r="F14" s="13"/>
      <c r="G14" s="8"/>
      <c r="H14" s="14" t="s">
        <v>217</v>
      </c>
      <c r="I14" s="13"/>
      <c r="J14" s="13"/>
      <c r="K14" s="8"/>
      <c r="L14" s="14" t="s">
        <v>222</v>
      </c>
      <c r="M14" s="13"/>
      <c r="N14" s="13"/>
      <c r="O14" s="8"/>
      <c r="P14" s="8"/>
      <c r="Q14" s="8"/>
      <c r="R14" s="8"/>
      <c r="S14" s="8"/>
      <c r="T14" s="8"/>
      <c r="U14" s="8"/>
      <c r="V14" s="8"/>
    </row>
    <row r="15" spans="1:22" x14ac:dyDescent="0.25">
      <c r="A15" s="8"/>
      <c r="B15" s="8"/>
      <c r="C15" s="8"/>
      <c r="E15" s="13"/>
      <c r="F15" s="13"/>
      <c r="G15" s="8"/>
      <c r="H15" s="14"/>
      <c r="I15" s="13"/>
      <c r="J15" s="13"/>
      <c r="K15" s="8"/>
      <c r="N15" s="13"/>
      <c r="O15" s="8"/>
      <c r="P15" s="8"/>
      <c r="Q15" s="8"/>
      <c r="R15" s="8"/>
      <c r="S15" s="8"/>
      <c r="T15" s="8"/>
      <c r="U15" s="8"/>
      <c r="V15" s="8"/>
    </row>
    <row r="16" spans="1:22" ht="14.4" thickBot="1" x14ac:dyDescent="0.3">
      <c r="A16" s="8"/>
      <c r="B16" s="8"/>
      <c r="C16" s="8"/>
      <c r="D16" s="14"/>
      <c r="E16" s="13"/>
      <c r="F16" s="13"/>
      <c r="G16" s="8"/>
      <c r="H16" s="13"/>
      <c r="I16" s="13"/>
      <c r="J16" s="13"/>
      <c r="K16" s="8"/>
      <c r="L16" s="14" t="s">
        <v>223</v>
      </c>
      <c r="M16" s="67" t="s">
        <v>224</v>
      </c>
      <c r="N16" s="13"/>
      <c r="O16" s="8"/>
      <c r="P16" s="8"/>
      <c r="Q16" s="8"/>
      <c r="R16" s="8"/>
      <c r="S16" s="8"/>
      <c r="T16" s="8"/>
      <c r="U16" s="8"/>
      <c r="V16" s="8"/>
    </row>
    <row r="17" spans="1:22" x14ac:dyDescent="0.25">
      <c r="A17" s="8"/>
      <c r="B17" s="8"/>
      <c r="C17" s="8"/>
      <c r="D17" s="13"/>
      <c r="E17" s="13"/>
      <c r="F17" s="13"/>
      <c r="G17" s="8"/>
      <c r="H17" s="13"/>
      <c r="I17" s="13"/>
      <c r="J17" s="13"/>
      <c r="K17" s="8"/>
      <c r="L17" s="14"/>
      <c r="M17" s="13"/>
      <c r="N17" s="13"/>
      <c r="O17" s="8"/>
      <c r="P17" s="8"/>
      <c r="Q17" s="8"/>
      <c r="R17" s="8"/>
      <c r="S17" s="8"/>
      <c r="T17" s="8"/>
      <c r="U17" s="8"/>
      <c r="V17" s="8"/>
    </row>
    <row r="18" spans="1:22" ht="14.4" thickBot="1" x14ac:dyDescent="0.3">
      <c r="A18" s="8"/>
      <c r="B18" s="8"/>
      <c r="C18" s="8"/>
      <c r="D18" s="13"/>
      <c r="E18" s="13"/>
      <c r="F18" s="13"/>
      <c r="G18" s="8"/>
      <c r="H18" s="13"/>
      <c r="I18" s="13"/>
      <c r="J18" s="13"/>
      <c r="K18" s="8"/>
      <c r="L18" s="14" t="s">
        <v>225</v>
      </c>
      <c r="M18" s="67" t="s">
        <v>226</v>
      </c>
      <c r="N18" s="13"/>
      <c r="O18" s="8"/>
      <c r="P18" s="8"/>
      <c r="Q18" s="8"/>
      <c r="R18" s="8"/>
      <c r="S18" s="8"/>
      <c r="T18" s="8"/>
      <c r="U18" s="8"/>
      <c r="V18" s="8"/>
    </row>
    <row r="19" spans="1:22" x14ac:dyDescent="0.25">
      <c r="A19" s="8"/>
      <c r="B19" s="8"/>
      <c r="C19" s="8"/>
      <c r="D19" s="13"/>
      <c r="E19" s="13"/>
      <c r="F19" s="13"/>
      <c r="G19" s="8"/>
      <c r="H19" s="13"/>
      <c r="I19" s="13"/>
      <c r="J19" s="13"/>
      <c r="K19" s="8"/>
      <c r="L19" s="13"/>
      <c r="M19" s="13"/>
      <c r="N19" s="13"/>
      <c r="O19" s="8"/>
      <c r="P19" s="8"/>
      <c r="Q19" s="8"/>
      <c r="R19" s="8"/>
      <c r="S19" s="8"/>
      <c r="T19" s="8"/>
      <c r="U19" s="8"/>
      <c r="V19" s="8"/>
    </row>
    <row r="20" spans="1:22" x14ac:dyDescent="0.25">
      <c r="A20" s="8"/>
      <c r="B20" s="8"/>
      <c r="C20" s="8"/>
      <c r="D20" s="13"/>
      <c r="E20" s="13"/>
      <c r="F20" s="13"/>
      <c r="G20" s="8"/>
      <c r="H20" s="13"/>
      <c r="I20" s="13"/>
      <c r="J20" s="13"/>
      <c r="K20" s="8"/>
      <c r="L20" s="13"/>
      <c r="M20" s="13"/>
      <c r="N20" s="13"/>
      <c r="O20" s="8"/>
      <c r="P20" s="8"/>
      <c r="Q20" s="8"/>
      <c r="R20" s="8"/>
      <c r="S20" s="8"/>
      <c r="T20" s="8"/>
      <c r="U20" s="8"/>
      <c r="V20" s="8"/>
    </row>
    <row r="21" spans="1:22" x14ac:dyDescent="0.25">
      <c r="A21" s="8"/>
      <c r="B21" s="8"/>
      <c r="C21" s="8"/>
      <c r="D21" s="13"/>
      <c r="E21" s="13"/>
      <c r="F21" s="13"/>
      <c r="G21" s="8"/>
      <c r="H21" s="13"/>
      <c r="I21" s="13"/>
      <c r="J21" s="13"/>
      <c r="K21" s="8"/>
      <c r="L21" s="13"/>
      <c r="M21" s="13"/>
      <c r="N21" s="13"/>
      <c r="O21" s="8"/>
      <c r="P21" s="8"/>
      <c r="Q21" s="8"/>
      <c r="R21" s="8"/>
      <c r="S21" s="8"/>
      <c r="T21" s="8"/>
      <c r="U21" s="8"/>
      <c r="V21" s="8"/>
    </row>
    <row r="22" spans="1:22" ht="8.4" customHeight="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1:22" ht="8.4" hidden="1" customHeight="1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1:22" ht="8.4" hidden="1" customHeight="1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1:22" ht="8.4" hidden="1" customHeight="1" x14ac:dyDescent="0.25">
      <c r="A25" s="8"/>
      <c r="B25" s="8"/>
      <c r="C25" s="8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8"/>
      <c r="P25" s="8"/>
      <c r="Q25" s="8"/>
      <c r="R25" s="8"/>
      <c r="S25" s="8"/>
      <c r="T25" s="8"/>
      <c r="U25" s="8"/>
      <c r="V25" s="8"/>
    </row>
    <row r="26" spans="1:22" ht="14.25" hidden="1" customHeight="1" x14ac:dyDescent="0.25">
      <c r="A26" s="8"/>
      <c r="B26" s="8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8"/>
      <c r="Q26" s="8"/>
      <c r="R26" s="8"/>
      <c r="S26" s="8"/>
      <c r="T26" s="8"/>
      <c r="U26" s="8"/>
      <c r="V26" s="8"/>
    </row>
    <row r="27" spans="1:22" ht="22.5" hidden="1" customHeight="1" x14ac:dyDescent="0.25">
      <c r="A27" s="8"/>
      <c r="B27" s="8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8"/>
      <c r="Q27" s="8"/>
      <c r="R27" s="8"/>
      <c r="S27" s="8"/>
      <c r="T27" s="8"/>
      <c r="U27" s="8"/>
      <c r="V27" s="8"/>
    </row>
    <row r="28" spans="1:22" ht="19.95" customHeight="1" x14ac:dyDescent="0.25">
      <c r="A28" s="8"/>
      <c r="B28" s="8"/>
      <c r="C28" s="8"/>
      <c r="D28" s="73" t="s">
        <v>300</v>
      </c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8"/>
      <c r="P28" s="8"/>
      <c r="Q28" s="8"/>
      <c r="R28" s="8"/>
      <c r="S28" s="8"/>
      <c r="T28" s="8"/>
      <c r="U28" s="8"/>
      <c r="V28" s="8"/>
    </row>
    <row r="29" spans="1:22" x14ac:dyDescent="0.25">
      <c r="A29" s="8"/>
      <c r="B29" s="8"/>
      <c r="C29" s="8"/>
      <c r="D29" s="73" t="s">
        <v>301</v>
      </c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8"/>
      <c r="P29" s="8"/>
      <c r="Q29" s="8"/>
      <c r="R29" s="8"/>
      <c r="S29" s="8"/>
      <c r="T29" s="8"/>
      <c r="U29" s="8"/>
      <c r="V29" s="8"/>
    </row>
    <row r="30" spans="1:22" x14ac:dyDescent="0.25">
      <c r="A30" s="8"/>
      <c r="B30" s="8"/>
      <c r="C30" s="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8"/>
      <c r="P30" s="8"/>
      <c r="Q30" s="8"/>
      <c r="R30" s="8"/>
      <c r="S30" s="8"/>
      <c r="T30" s="8"/>
      <c r="U30" s="8"/>
      <c r="V30" s="8"/>
    </row>
    <row r="31" spans="1:22" x14ac:dyDescent="0.25">
      <c r="A31" s="8"/>
      <c r="B31" s="8"/>
      <c r="C31" s="8"/>
      <c r="D31" s="68" t="s">
        <v>302</v>
      </c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8"/>
      <c r="P31" s="8"/>
      <c r="Q31" s="8"/>
      <c r="R31" s="8"/>
      <c r="S31" s="8"/>
      <c r="T31" s="8"/>
      <c r="U31" s="8"/>
      <c r="V31" s="8"/>
    </row>
    <row r="32" spans="1:22" x14ac:dyDescent="0.25">
      <c r="A32" s="8"/>
      <c r="B32" s="8"/>
      <c r="C32" s="8"/>
      <c r="D32" s="68" t="s">
        <v>303</v>
      </c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8"/>
      <c r="P32" s="8"/>
      <c r="Q32" s="8"/>
      <c r="R32" s="8"/>
      <c r="S32" s="8"/>
      <c r="T32" s="8"/>
      <c r="U32" s="8"/>
      <c r="V32" s="8"/>
    </row>
    <row r="33" spans="1:22" x14ac:dyDescent="0.25">
      <c r="A33" s="8"/>
      <c r="B33" s="8"/>
      <c r="C33" s="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8"/>
      <c r="P33" s="8"/>
      <c r="Q33" s="8"/>
      <c r="R33" s="8"/>
      <c r="S33" s="8"/>
      <c r="T33" s="8"/>
      <c r="U33" s="8"/>
      <c r="V33" s="8"/>
    </row>
    <row r="34" spans="1:22" x14ac:dyDescent="0.25">
      <c r="A34" s="8"/>
      <c r="B34" s="8"/>
      <c r="C34" s="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8"/>
      <c r="P34" s="8"/>
      <c r="Q34" s="8"/>
      <c r="R34" s="8"/>
      <c r="S34" s="8"/>
      <c r="T34" s="8"/>
      <c r="U34" s="8"/>
      <c r="V34" s="8"/>
    </row>
    <row r="35" spans="1:22" x14ac:dyDescent="0.25">
      <c r="A35" s="8"/>
      <c r="B35" s="8"/>
      <c r="C35" s="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8"/>
      <c r="P35" s="8"/>
      <c r="Q35" s="8"/>
      <c r="R35" s="8"/>
      <c r="S35" s="8"/>
      <c r="T35" s="8"/>
      <c r="U35" s="8"/>
      <c r="V35" s="8"/>
    </row>
    <row r="36" spans="1:22" x14ac:dyDescent="0.25">
      <c r="A36" s="8"/>
      <c r="B36" s="8"/>
      <c r="C36" s="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8"/>
      <c r="P36" s="8"/>
      <c r="Q36" s="8"/>
      <c r="R36" s="8"/>
      <c r="S36" s="8"/>
      <c r="T36" s="8"/>
      <c r="U36" s="8"/>
      <c r="V36" s="8"/>
    </row>
    <row r="37" spans="1:22" x14ac:dyDescent="0.25">
      <c r="A37" s="8"/>
      <c r="B37" s="8"/>
      <c r="C37" s="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8"/>
      <c r="P37" s="8"/>
      <c r="Q37" s="8"/>
      <c r="R37" s="8"/>
      <c r="S37" s="8"/>
      <c r="T37" s="8"/>
      <c r="U37" s="8"/>
      <c r="V37" s="8"/>
    </row>
    <row r="38" spans="1:22" x14ac:dyDescent="0.25">
      <c r="A38" s="8"/>
      <c r="B38" s="8"/>
      <c r="C38" s="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8"/>
      <c r="P38" s="8"/>
      <c r="Q38" s="8"/>
      <c r="R38" s="8"/>
      <c r="S38" s="8"/>
      <c r="T38" s="8"/>
      <c r="U38" s="8"/>
      <c r="V38" s="8"/>
    </row>
    <row r="39" spans="1:22" x14ac:dyDescent="0.25">
      <c r="A39" s="8"/>
      <c r="B39" s="8"/>
      <c r="C39" s="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8"/>
      <c r="P39" s="8"/>
      <c r="Q39" s="8"/>
      <c r="R39" s="8"/>
      <c r="S39" s="8"/>
      <c r="T39" s="8"/>
      <c r="U39" s="8"/>
      <c r="V39" s="8"/>
    </row>
    <row r="40" spans="1:22" x14ac:dyDescent="0.25">
      <c r="A40" s="8"/>
      <c r="B40" s="8"/>
      <c r="C40" s="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8"/>
      <c r="P40" s="8"/>
      <c r="Q40" s="8"/>
      <c r="R40" s="8"/>
      <c r="S40" s="8"/>
      <c r="T40" s="8"/>
      <c r="U40" s="8"/>
      <c r="V40" s="8"/>
    </row>
    <row r="41" spans="1:22" x14ac:dyDescent="0.25">
      <c r="A41" s="8"/>
      <c r="B41" s="8"/>
      <c r="C41" s="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8"/>
      <c r="P41" s="8"/>
      <c r="Q41" s="8"/>
      <c r="R41" s="8"/>
      <c r="S41" s="8"/>
      <c r="T41" s="8"/>
      <c r="U41" s="8"/>
      <c r="V41" s="8"/>
    </row>
    <row r="42" spans="1:22" x14ac:dyDescent="0.25">
      <c r="A42" s="8"/>
      <c r="B42" s="8"/>
      <c r="C42" s="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8"/>
      <c r="P42" s="8"/>
      <c r="Q42" s="8"/>
      <c r="R42" s="8"/>
      <c r="S42" s="8"/>
      <c r="T42" s="8"/>
      <c r="U42" s="8"/>
      <c r="V42" s="8"/>
    </row>
    <row r="43" spans="1:22" x14ac:dyDescent="0.25">
      <c r="A43" s="8"/>
      <c r="B43" s="8"/>
      <c r="C43" s="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8"/>
      <c r="P43" s="8"/>
      <c r="Q43" s="8"/>
      <c r="R43" s="8"/>
      <c r="S43" s="8"/>
      <c r="T43" s="8"/>
      <c r="U43" s="8"/>
      <c r="V43" s="8"/>
    </row>
    <row r="44" spans="1:22" x14ac:dyDescent="0.25">
      <c r="A44" s="8"/>
      <c r="B44" s="8"/>
      <c r="C44" s="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8"/>
      <c r="P44" s="8"/>
      <c r="Q44" s="8"/>
      <c r="R44" s="8"/>
      <c r="S44" s="8"/>
      <c r="T44" s="8"/>
      <c r="U44" s="8"/>
      <c r="V44" s="8"/>
    </row>
    <row r="45" spans="1:22" x14ac:dyDescent="0.25">
      <c r="A45" s="8"/>
      <c r="B45" s="8"/>
      <c r="C45" s="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8"/>
      <c r="P45" s="8"/>
      <c r="Q45" s="8"/>
      <c r="R45" s="8"/>
      <c r="S45" s="8"/>
      <c r="T45" s="8"/>
      <c r="U45" s="8"/>
      <c r="V45" s="8"/>
    </row>
    <row r="46" spans="1:22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</row>
    <row r="47" spans="1:22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 t="s">
        <v>247</v>
      </c>
      <c r="Q47" s="8"/>
      <c r="R47" s="8"/>
      <c r="S47" s="8"/>
      <c r="T47" s="8"/>
      <c r="U47" s="8"/>
      <c r="V47" s="8"/>
    </row>
    <row r="48" spans="1:22" hidden="1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</row>
    <row r="49" spans="1:22" hidden="1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</row>
    <row r="50" spans="1:22" hidden="1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</row>
    <row r="51" spans="1:22" hidden="1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</row>
    <row r="52" spans="1:22" hidden="1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</row>
    <row r="53" spans="1:22" hidden="1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</row>
    <row r="54" spans="1:22" hidden="1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</row>
    <row r="55" spans="1:22" hidden="1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</row>
    <row r="56" spans="1:22" hidden="1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</row>
    <row r="57" spans="1:22" hidden="1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388620</xdr:colOff>
                    <xdr:row>14</xdr:row>
                    <xdr:rowOff>99060</xdr:rowOff>
                  </from>
                  <to>
                    <xdr:col>9</xdr:col>
                    <xdr:colOff>480060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388620</xdr:colOff>
                    <xdr:row>17</xdr:row>
                    <xdr:rowOff>144780</xdr:rowOff>
                  </from>
                  <to>
                    <xdr:col>9</xdr:col>
                    <xdr:colOff>464820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View_Invoices">
                <anchor moveWithCells="1" sizeWithCells="1">
                  <from>
                    <xdr:col>4</xdr:col>
                    <xdr:colOff>548640</xdr:colOff>
                    <xdr:row>17</xdr:row>
                    <xdr:rowOff>76200</xdr:rowOff>
                  </from>
                  <to>
                    <xdr:col>5</xdr:col>
                    <xdr:colOff>548640</xdr:colOff>
                    <xdr:row>20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oice">
    <tabColor rgb="FFE6834F"/>
  </sheetPr>
  <dimension ref="A1:AW279"/>
  <sheetViews>
    <sheetView showGridLines="0" zoomScale="80" zoomScaleNormal="80" workbookViewId="0">
      <pane xSplit="3" ySplit="7" topLeftCell="D12" activePane="bottomRight" state="frozen"/>
      <selection pane="topRight" activeCell="D1" sqref="D1"/>
      <selection pane="bottomLeft" activeCell="A8" sqref="A8"/>
      <selection pane="bottomRight"/>
    </sheetView>
  </sheetViews>
  <sheetFormatPr defaultColWidth="8.8984375" defaultRowHeight="13.8" x14ac:dyDescent="0.25"/>
  <cols>
    <col min="1" max="1" width="2.5" style="29" customWidth="1"/>
    <col min="2" max="2" width="19.19921875" style="29" customWidth="1"/>
    <col min="3" max="3" width="18.09765625" style="29" customWidth="1"/>
    <col min="4" max="4" width="37.8984375" style="29" hidden="1" customWidth="1"/>
    <col min="5" max="5" width="38.69921875" style="29" hidden="1" customWidth="1"/>
    <col min="6" max="6" width="16" style="29" hidden="1" customWidth="1"/>
    <col min="7" max="7" width="14.19921875" style="29" hidden="1" customWidth="1"/>
    <col min="8" max="8" width="9" style="58" hidden="1" customWidth="1"/>
    <col min="9" max="9" width="19.09765625" style="29" hidden="1" customWidth="1"/>
    <col min="10" max="10" width="22.59765625" style="29" hidden="1" customWidth="1"/>
    <col min="11" max="11" width="15.3984375" style="59" hidden="1" customWidth="1"/>
    <col min="12" max="12" width="16.69921875" style="29" hidden="1" customWidth="1"/>
    <col min="13" max="13" width="13" style="29" hidden="1" customWidth="1"/>
    <col min="14" max="14" width="15.3984375" style="59" hidden="1" customWidth="1"/>
    <col min="15" max="15" width="16.69921875" style="29" hidden="1" customWidth="1"/>
    <col min="16" max="16" width="12.3984375" style="29" hidden="1" customWidth="1"/>
    <col min="17" max="17" width="15.3984375" style="59" hidden="1" customWidth="1" collapsed="1"/>
    <col min="18" max="18" width="14.19921875" style="29" customWidth="1"/>
    <col min="19" max="19" width="13.3984375" style="29" customWidth="1"/>
    <col min="20" max="20" width="13.19921875" style="29" customWidth="1"/>
    <col min="21" max="21" width="15.19921875" style="29" customWidth="1"/>
    <col min="22" max="22" width="12.3984375" style="25" customWidth="1"/>
    <col min="23" max="23" width="16.09765625" style="29" customWidth="1"/>
    <col min="24" max="25" width="12.3984375" style="29" customWidth="1"/>
    <col min="26" max="26" width="13" style="29" bestFit="1" customWidth="1"/>
    <col min="27" max="27" width="12.3984375" style="29" customWidth="1"/>
    <col min="28" max="28" width="4.3984375" style="29" customWidth="1"/>
    <col min="29" max="29" width="8.8984375" style="29"/>
    <col min="30" max="30" width="11.3984375" style="29" bestFit="1" customWidth="1"/>
    <col min="31" max="31" width="10.09765625" style="29" bestFit="1" customWidth="1"/>
    <col min="32" max="16384" width="8.8984375" style="29"/>
  </cols>
  <sheetData>
    <row r="1" spans="1:49" x14ac:dyDescent="0.25">
      <c r="A1" s="75"/>
      <c r="B1" s="75"/>
      <c r="C1" s="75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</row>
    <row r="2" spans="1:49" x14ac:dyDescent="0.25">
      <c r="A2" s="75"/>
      <c r="B2" s="75"/>
      <c r="C2" s="7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</row>
    <row r="3" spans="1:49" x14ac:dyDescent="0.25">
      <c r="A3" s="75"/>
      <c r="B3" s="75"/>
      <c r="C3" s="75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</row>
    <row r="4" spans="1:49" s="30" customFormat="1" ht="34.5" customHeight="1" x14ac:dyDescent="0.25">
      <c r="A4" s="75"/>
      <c r="B4" s="75"/>
      <c r="C4" s="75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</row>
    <row r="5" spans="1:49" s="31" customFormat="1" ht="21" customHeight="1" x14ac:dyDescent="0.25"/>
    <row r="6" spans="1:49" s="31" customFormat="1" ht="18" customHeight="1" x14ac:dyDescent="0.25">
      <c r="K6" s="32"/>
      <c r="N6" s="32"/>
      <c r="Q6" s="32"/>
      <c r="U6" s="26"/>
    </row>
    <row r="7" spans="1:49" s="33" customFormat="1" ht="28.2" thickBot="1" x14ac:dyDescent="0.3">
      <c r="B7" s="34" t="s">
        <v>0</v>
      </c>
      <c r="C7" s="34" t="s">
        <v>2</v>
      </c>
      <c r="D7" s="35" t="s">
        <v>6</v>
      </c>
      <c r="E7" s="35" t="s">
        <v>7</v>
      </c>
      <c r="F7" s="35" t="s">
        <v>8</v>
      </c>
      <c r="G7" s="35" t="s">
        <v>3</v>
      </c>
      <c r="H7" s="36" t="s">
        <v>97</v>
      </c>
      <c r="I7" s="34" t="s">
        <v>134</v>
      </c>
      <c r="J7" s="34" t="s">
        <v>145</v>
      </c>
      <c r="K7" s="37" t="s">
        <v>146</v>
      </c>
      <c r="L7" s="34" t="s">
        <v>135</v>
      </c>
      <c r="M7" s="34" t="s">
        <v>147</v>
      </c>
      <c r="N7" s="37" t="s">
        <v>148</v>
      </c>
      <c r="O7" s="34" t="s">
        <v>136</v>
      </c>
      <c r="P7" s="34" t="s">
        <v>149</v>
      </c>
      <c r="Q7" s="37" t="s">
        <v>150</v>
      </c>
      <c r="R7" s="34" t="s">
        <v>139</v>
      </c>
      <c r="S7" s="34" t="s">
        <v>4</v>
      </c>
      <c r="T7" s="34" t="s">
        <v>5</v>
      </c>
      <c r="U7" s="37" t="s">
        <v>137</v>
      </c>
      <c r="V7" s="34" t="s">
        <v>1</v>
      </c>
      <c r="W7" s="34" t="s">
        <v>138</v>
      </c>
      <c r="X7" s="34" t="s">
        <v>140</v>
      </c>
      <c r="Y7" s="34" t="s">
        <v>144</v>
      </c>
      <c r="Z7" s="34" t="s">
        <v>142</v>
      </c>
      <c r="AA7" s="34" t="s">
        <v>143</v>
      </c>
      <c r="AE7" s="72"/>
    </row>
    <row r="8" spans="1:49" x14ac:dyDescent="0.25">
      <c r="B8" s="38" t="s">
        <v>260</v>
      </c>
      <c r="C8" s="30" t="s">
        <v>249</v>
      </c>
      <c r="D8" s="39" t="s">
        <v>60</v>
      </c>
      <c r="E8" s="39" t="s">
        <v>61</v>
      </c>
      <c r="F8" s="39" t="s">
        <v>272</v>
      </c>
      <c r="G8" s="39" t="s">
        <v>114</v>
      </c>
      <c r="H8" s="64">
        <v>0.2</v>
      </c>
      <c r="I8" s="23" t="s">
        <v>192</v>
      </c>
      <c r="J8" s="24" t="s">
        <v>282</v>
      </c>
      <c r="K8" s="25">
        <v>3500</v>
      </c>
      <c r="L8" s="23"/>
      <c r="M8" s="23"/>
      <c r="N8" s="25"/>
      <c r="O8" s="23"/>
      <c r="P8" s="23"/>
      <c r="Q8" s="25"/>
      <c r="R8" s="7">
        <f>InvoiceTable[[#This Row],[Amount Line 1]]+InvoiceTable[[#This Row],[Amount Line 2]]+InvoiceTable[[#This Row],[Amount Line 3]]</f>
        <v>3500</v>
      </c>
      <c r="S8" s="41">
        <v>281.8</v>
      </c>
      <c r="T8" s="40">
        <f>SUM(InvoiceTable[[#This Row],[Agreed Amount Total]:[Additional Expenses]])</f>
        <v>3781.8</v>
      </c>
      <c r="U8" s="40">
        <f>InvoiceTable[[#This Row],[Net Amount]]+InvoiceTable[[#This Row],[VAT to Pay]]</f>
        <v>4538.16</v>
      </c>
      <c r="V8" s="60">
        <v>15040</v>
      </c>
      <c r="W8" s="42">
        <v>44265</v>
      </c>
      <c r="X8" s="43">
        <f>IF(InvoiceTable[[#This Row],[Invoice Date]]="","",WORKDAY(InvoiceTable[[#This Row],[Invoice Date]],14))</f>
        <v>44285</v>
      </c>
      <c r="Y8" s="23" t="s">
        <v>141</v>
      </c>
      <c r="Z8" s="71">
        <v>44280</v>
      </c>
      <c r="AA8" s="40">
        <f>InvoiceTable[[#This Row],[Net Amount]]*InvoiceTable[[#This Row],[VAT]]</f>
        <v>756.36000000000013</v>
      </c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</row>
    <row r="9" spans="1:49" x14ac:dyDescent="0.25">
      <c r="B9" s="29" t="s">
        <v>246</v>
      </c>
      <c r="C9" s="45" t="s">
        <v>250</v>
      </c>
      <c r="D9" s="39" t="s">
        <v>34</v>
      </c>
      <c r="E9" s="39" t="s">
        <v>33</v>
      </c>
      <c r="F9" s="39" t="s">
        <v>32</v>
      </c>
      <c r="G9" s="39"/>
      <c r="H9" s="64">
        <v>0</v>
      </c>
      <c r="I9" s="23" t="s">
        <v>193</v>
      </c>
      <c r="J9" s="24" t="s">
        <v>281</v>
      </c>
      <c r="K9" s="25">
        <v>3500</v>
      </c>
      <c r="L9" s="23"/>
      <c r="M9" s="23"/>
      <c r="N9" s="25"/>
      <c r="O9" s="23"/>
      <c r="P9" s="23"/>
      <c r="Q9" s="25"/>
      <c r="R9" s="7">
        <f>InvoiceTable[[#This Row],[Amount Line 1]]+InvoiceTable[[#This Row],[Amount Line 2]]+InvoiceTable[[#This Row],[Amount Line 3]]</f>
        <v>3500</v>
      </c>
      <c r="S9" s="41">
        <v>261.25</v>
      </c>
      <c r="T9" s="40">
        <f>SUM(InvoiceTable[[#This Row],[Agreed Amount Total]:[Additional Expenses]])</f>
        <v>3761.25</v>
      </c>
      <c r="U9" s="40">
        <f>InvoiceTable[[#This Row],[Net Amount]]+InvoiceTable[[#This Row],[VAT to Pay]]</f>
        <v>3761.25</v>
      </c>
      <c r="V9" s="60">
        <v>15041</v>
      </c>
      <c r="W9" s="42">
        <v>44265</v>
      </c>
      <c r="X9" s="43">
        <f>IF(InvoiceTable[[#This Row],[Invoice Date]]="","",WORKDAY(InvoiceTable[[#This Row],[Invoice Date]],14))</f>
        <v>44285</v>
      </c>
      <c r="Y9" s="23" t="s">
        <v>141</v>
      </c>
      <c r="Z9" s="71">
        <v>44281</v>
      </c>
      <c r="AA9" s="40">
        <f>InvoiceTable[[#This Row],[Net Amount]]*InvoiceTable[[#This Row],[VAT]]</f>
        <v>0</v>
      </c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</row>
    <row r="10" spans="1:49" x14ac:dyDescent="0.25">
      <c r="B10" s="29" t="s">
        <v>44</v>
      </c>
      <c r="C10" s="45" t="s">
        <v>251</v>
      </c>
      <c r="D10" s="39" t="s">
        <v>25</v>
      </c>
      <c r="E10" s="39" t="s">
        <v>26</v>
      </c>
      <c r="F10" s="39" t="s">
        <v>27</v>
      </c>
      <c r="G10" s="39"/>
      <c r="H10" s="65">
        <v>0</v>
      </c>
      <c r="I10" s="23" t="s">
        <v>195</v>
      </c>
      <c r="J10" s="24" t="s">
        <v>273</v>
      </c>
      <c r="K10" s="25">
        <v>840</v>
      </c>
      <c r="L10" s="23"/>
      <c r="M10" s="23"/>
      <c r="N10" s="25"/>
      <c r="O10" s="23"/>
      <c r="P10" s="23"/>
      <c r="Q10" s="25"/>
      <c r="R10" s="7">
        <f>InvoiceTable[[#This Row],[Amount Line 1]]+InvoiceTable[[#This Row],[Amount Line 2]]+InvoiceTable[[#This Row],[Amount Line 3]]</f>
        <v>840</v>
      </c>
      <c r="S10" s="41">
        <v>0</v>
      </c>
      <c r="T10" s="40">
        <f>SUM(InvoiceTable[[#This Row],[Agreed Amount Total]:[Additional Expenses]])</f>
        <v>840</v>
      </c>
      <c r="U10" s="40">
        <f>InvoiceTable[[#This Row],[Net Amount]]+InvoiceTable[[#This Row],[VAT to Pay]]</f>
        <v>840</v>
      </c>
      <c r="V10" s="60">
        <v>15042</v>
      </c>
      <c r="W10" s="42">
        <v>44278</v>
      </c>
      <c r="X10" s="43">
        <f>IF(InvoiceTable[[#This Row],[Invoice Date]]="","",WORKDAY(InvoiceTable[[#This Row],[Invoice Date]],14))</f>
        <v>44298</v>
      </c>
      <c r="Y10" s="23" t="s">
        <v>141</v>
      </c>
      <c r="Z10" s="71">
        <v>44282</v>
      </c>
      <c r="AA10" s="40">
        <f>InvoiceTable[[#This Row],[Net Amount]]*InvoiceTable[[#This Row],[VAT]]</f>
        <v>0</v>
      </c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</row>
    <row r="11" spans="1:49" x14ac:dyDescent="0.25">
      <c r="B11" s="29" t="s">
        <v>261</v>
      </c>
      <c r="C11" s="30" t="s">
        <v>252</v>
      </c>
      <c r="D11" s="39" t="s">
        <v>60</v>
      </c>
      <c r="E11" s="39" t="s">
        <v>61</v>
      </c>
      <c r="F11" s="39" t="s">
        <v>272</v>
      </c>
      <c r="G11" s="39" t="s">
        <v>110</v>
      </c>
      <c r="H11" s="64">
        <v>0.2</v>
      </c>
      <c r="I11" s="23" t="s">
        <v>196</v>
      </c>
      <c r="J11" s="24" t="s">
        <v>275</v>
      </c>
      <c r="K11" s="25">
        <v>4500</v>
      </c>
      <c r="L11" s="23"/>
      <c r="M11" s="23"/>
      <c r="N11" s="25"/>
      <c r="O11" s="23"/>
      <c r="P11" s="23"/>
      <c r="Q11" s="25"/>
      <c r="R11" s="7">
        <f>InvoiceTable[[#This Row],[Amount Line 1]]+InvoiceTable[[#This Row],[Amount Line 2]]+InvoiceTable[[#This Row],[Amount Line 3]]</f>
        <v>4500</v>
      </c>
      <c r="S11" s="41">
        <v>0</v>
      </c>
      <c r="T11" s="40">
        <f>SUM(InvoiceTable[[#This Row],[Agreed Amount Total]:[Additional Expenses]])</f>
        <v>4500</v>
      </c>
      <c r="U11" s="40">
        <f>InvoiceTable[[#This Row],[Net Amount]]+InvoiceTable[[#This Row],[VAT to Pay]]</f>
        <v>5400</v>
      </c>
      <c r="V11" s="60">
        <v>15043</v>
      </c>
      <c r="W11" s="42">
        <v>44278</v>
      </c>
      <c r="X11" s="43">
        <f>IF(InvoiceTable[[#This Row],[Invoice Date]]="","",WORKDAY(InvoiceTable[[#This Row],[Invoice Date]],14))</f>
        <v>44298</v>
      </c>
      <c r="Y11" s="23" t="s">
        <v>141</v>
      </c>
      <c r="Z11" s="71">
        <v>44283</v>
      </c>
      <c r="AA11" s="40">
        <f>InvoiceTable[[#This Row],[Net Amount]]*InvoiceTable[[#This Row],[VAT]]</f>
        <v>900</v>
      </c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</row>
    <row r="12" spans="1:49" x14ac:dyDescent="0.25">
      <c r="B12" s="29" t="s">
        <v>65</v>
      </c>
      <c r="C12" s="30" t="s">
        <v>253</v>
      </c>
      <c r="D12" s="39" t="s">
        <v>60</v>
      </c>
      <c r="E12" s="39" t="s">
        <v>61</v>
      </c>
      <c r="F12" s="39" t="s">
        <v>272</v>
      </c>
      <c r="G12" s="39" t="s">
        <v>107</v>
      </c>
      <c r="H12" s="64">
        <v>0.2</v>
      </c>
      <c r="I12" s="23" t="s">
        <v>197</v>
      </c>
      <c r="J12" s="24" t="s">
        <v>276</v>
      </c>
      <c r="K12" s="25">
        <v>2100</v>
      </c>
      <c r="L12" s="23"/>
      <c r="M12" s="23"/>
      <c r="N12" s="25"/>
      <c r="O12" s="23"/>
      <c r="P12" s="23"/>
      <c r="Q12" s="25"/>
      <c r="R12" s="7">
        <f>InvoiceTable[[#This Row],[Amount Line 1]]+InvoiceTable[[#This Row],[Amount Line 2]]+InvoiceTable[[#This Row],[Amount Line 3]]</f>
        <v>2100</v>
      </c>
      <c r="S12" s="41">
        <v>0</v>
      </c>
      <c r="T12" s="40">
        <f>SUM(InvoiceTable[[#This Row],[Agreed Amount Total]:[Additional Expenses]])</f>
        <v>2100</v>
      </c>
      <c r="U12" s="40">
        <f>InvoiceTable[[#This Row],[Net Amount]]+InvoiceTable[[#This Row],[VAT to Pay]]</f>
        <v>2520</v>
      </c>
      <c r="V12" s="60">
        <v>15044</v>
      </c>
      <c r="W12" s="42">
        <v>44278</v>
      </c>
      <c r="X12" s="43">
        <f>IF(InvoiceTable[[#This Row],[Invoice Date]]="","",WORKDAY(InvoiceTable[[#This Row],[Invoice Date]],14))</f>
        <v>44298</v>
      </c>
      <c r="Y12" s="23" t="s">
        <v>141</v>
      </c>
      <c r="Z12" s="71">
        <v>44284</v>
      </c>
      <c r="AA12" s="40">
        <f>InvoiceTable[[#This Row],[Net Amount]]*InvoiceTable[[#This Row],[VAT]]</f>
        <v>420</v>
      </c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</row>
    <row r="13" spans="1:49" x14ac:dyDescent="0.25">
      <c r="B13" s="29" t="s">
        <v>262</v>
      </c>
      <c r="C13" s="45" t="s">
        <v>254</v>
      </c>
      <c r="D13" s="39" t="s">
        <v>31</v>
      </c>
      <c r="E13" s="39" t="s">
        <v>33</v>
      </c>
      <c r="F13" s="39" t="s">
        <v>32</v>
      </c>
      <c r="G13" s="39"/>
      <c r="H13" s="64">
        <v>0</v>
      </c>
      <c r="I13" s="23" t="s">
        <v>198</v>
      </c>
      <c r="J13" s="24" t="s">
        <v>280</v>
      </c>
      <c r="K13" s="25">
        <v>3750</v>
      </c>
      <c r="L13" s="23"/>
      <c r="M13" s="23"/>
      <c r="N13" s="25"/>
      <c r="O13" s="23"/>
      <c r="P13" s="23"/>
      <c r="Q13" s="25"/>
      <c r="R13" s="7">
        <f>InvoiceTable[[#This Row],[Amount Line 1]]+InvoiceTable[[#This Row],[Amount Line 2]]+InvoiceTable[[#This Row],[Amount Line 3]]</f>
        <v>3750</v>
      </c>
      <c r="S13" s="41">
        <v>0</v>
      </c>
      <c r="T13" s="40">
        <f>SUM(InvoiceTable[[#This Row],[Agreed Amount Total]:[Additional Expenses]])</f>
        <v>3750</v>
      </c>
      <c r="U13" s="40">
        <f>InvoiceTable[[#This Row],[Net Amount]]+InvoiceTable[[#This Row],[VAT to Pay]]</f>
        <v>3750</v>
      </c>
      <c r="V13" s="60">
        <v>15045</v>
      </c>
      <c r="W13" s="42">
        <v>44287</v>
      </c>
      <c r="X13" s="43">
        <f>IF(InvoiceTable[[#This Row],[Invoice Date]]="","",WORKDAY(InvoiceTable[[#This Row],[Invoice Date]],14))</f>
        <v>44307</v>
      </c>
      <c r="Y13" s="23" t="s">
        <v>141</v>
      </c>
      <c r="Z13" s="71">
        <v>44285</v>
      </c>
      <c r="AA13" s="40">
        <f>InvoiceTable[[#This Row],[Net Amount]]*InvoiceTable[[#This Row],[VAT]]</f>
        <v>0</v>
      </c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</row>
    <row r="14" spans="1:49" x14ac:dyDescent="0.25">
      <c r="B14" s="46" t="s">
        <v>263</v>
      </c>
      <c r="C14" s="47" t="s">
        <v>255</v>
      </c>
      <c r="D14" s="48" t="s">
        <v>22</v>
      </c>
      <c r="E14" s="48" t="s">
        <v>23</v>
      </c>
      <c r="F14" s="48" t="s">
        <v>24</v>
      </c>
      <c r="G14" s="48"/>
      <c r="H14" s="66">
        <v>0</v>
      </c>
      <c r="I14" s="23" t="s">
        <v>199</v>
      </c>
      <c r="J14" s="24" t="s">
        <v>283</v>
      </c>
      <c r="K14" s="25">
        <v>5500</v>
      </c>
      <c r="L14" s="23"/>
      <c r="M14" s="23"/>
      <c r="N14" s="25"/>
      <c r="O14" s="23"/>
      <c r="P14" s="23"/>
      <c r="Q14" s="25"/>
      <c r="R14" s="7">
        <f>InvoiceTable[[#This Row],[Amount Line 1]]+InvoiceTable[[#This Row],[Amount Line 2]]+InvoiceTable[[#This Row],[Amount Line 3]]</f>
        <v>5500</v>
      </c>
      <c r="S14" s="41">
        <v>5189.0677075471694</v>
      </c>
      <c r="T14" s="40">
        <f>SUM(InvoiceTable[[#This Row],[Agreed Amount Total]:[Additional Expenses]])</f>
        <v>10689.067707547169</v>
      </c>
      <c r="U14" s="40">
        <f>InvoiceTable[[#This Row],[Net Amount]]+InvoiceTable[[#This Row],[VAT to Pay]]</f>
        <v>10689.067707547169</v>
      </c>
      <c r="V14" s="60">
        <v>15046</v>
      </c>
      <c r="W14" s="42">
        <v>44299</v>
      </c>
      <c r="X14" s="43">
        <f>IF(InvoiceTable[[#This Row],[Invoice Date]]="","",WORKDAY(InvoiceTable[[#This Row],[Invoice Date]],14))</f>
        <v>44319</v>
      </c>
      <c r="Y14" s="23" t="s">
        <v>141</v>
      </c>
      <c r="Z14" s="71">
        <v>44286</v>
      </c>
      <c r="AA14" s="40">
        <f>InvoiceTable[[#This Row],[Net Amount]]*InvoiceTable[[#This Row],[VAT]]</f>
        <v>0</v>
      </c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</row>
    <row r="15" spans="1:49" x14ac:dyDescent="0.25">
      <c r="B15" s="46" t="s">
        <v>264</v>
      </c>
      <c r="C15" s="47" t="s">
        <v>256</v>
      </c>
      <c r="D15" s="48" t="s">
        <v>90</v>
      </c>
      <c r="E15" s="48" t="s">
        <v>91</v>
      </c>
      <c r="F15" s="48" t="s">
        <v>272</v>
      </c>
      <c r="G15" s="48" t="s">
        <v>119</v>
      </c>
      <c r="H15" s="66">
        <v>0.2</v>
      </c>
      <c r="I15" s="23" t="s">
        <v>194</v>
      </c>
      <c r="J15" s="24" t="s">
        <v>274</v>
      </c>
      <c r="K15" s="25">
        <v>2000</v>
      </c>
      <c r="L15" s="23"/>
      <c r="M15" s="23"/>
      <c r="N15" s="25"/>
      <c r="O15" s="23"/>
      <c r="P15" s="23"/>
      <c r="Q15" s="25"/>
      <c r="R15" s="7">
        <f>InvoiceTable[[#This Row],[Amount Line 1]]+InvoiceTable[[#This Row],[Amount Line 2]]+InvoiceTable[[#This Row],[Amount Line 3]]</f>
        <v>2000</v>
      </c>
      <c r="S15" s="41">
        <v>738.21</v>
      </c>
      <c r="T15" s="40">
        <f>SUM(InvoiceTable[[#This Row],[Agreed Amount Total]:[Additional Expenses]])</f>
        <v>2738.21</v>
      </c>
      <c r="U15" s="40">
        <f>InvoiceTable[[#This Row],[Net Amount]]+InvoiceTable[[#This Row],[VAT to Pay]]</f>
        <v>3285.8519999999999</v>
      </c>
      <c r="V15" s="60">
        <v>15047</v>
      </c>
      <c r="W15" s="42">
        <v>44299</v>
      </c>
      <c r="X15" s="43">
        <f>IF(InvoiceTable[[#This Row],[Invoice Date]]="","",WORKDAY(InvoiceTable[[#This Row],[Invoice Date]],14))</f>
        <v>44319</v>
      </c>
      <c r="Y15" s="23" t="s">
        <v>141</v>
      </c>
      <c r="Z15" s="71">
        <v>44287</v>
      </c>
      <c r="AA15" s="40">
        <f>InvoiceTable[[#This Row],[Net Amount]]*InvoiceTable[[#This Row],[VAT]]</f>
        <v>547.64200000000005</v>
      </c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</row>
    <row r="16" spans="1:49" x14ac:dyDescent="0.25">
      <c r="B16" s="49" t="s">
        <v>265</v>
      </c>
      <c r="C16" s="50" t="s">
        <v>257</v>
      </c>
      <c r="D16" s="48" t="s">
        <v>31</v>
      </c>
      <c r="E16" s="48" t="s">
        <v>33</v>
      </c>
      <c r="F16" s="48" t="s">
        <v>32</v>
      </c>
      <c r="G16" s="48"/>
      <c r="H16" s="66">
        <v>0</v>
      </c>
      <c r="I16" s="23" t="s">
        <v>200</v>
      </c>
      <c r="J16" s="24">
        <v>44295</v>
      </c>
      <c r="K16" s="25">
        <v>840</v>
      </c>
      <c r="L16" s="23"/>
      <c r="M16" s="23"/>
      <c r="N16" s="25"/>
      <c r="O16" s="23"/>
      <c r="P16" s="23"/>
      <c r="Q16" s="25"/>
      <c r="R16" s="7">
        <f>InvoiceTable[[#This Row],[Amount Line 1]]+InvoiceTable[[#This Row],[Amount Line 2]]+InvoiceTable[[#This Row],[Amount Line 3]]</f>
        <v>840</v>
      </c>
      <c r="S16" s="41">
        <v>0</v>
      </c>
      <c r="T16" s="40">
        <f>SUM(InvoiceTable[[#This Row],[Agreed Amount Total]:[Additional Expenses]])</f>
        <v>840</v>
      </c>
      <c r="U16" s="40">
        <f>InvoiceTable[[#This Row],[Net Amount]]+InvoiceTable[[#This Row],[VAT to Pay]]</f>
        <v>840</v>
      </c>
      <c r="V16" s="60">
        <v>15048</v>
      </c>
      <c r="W16" s="42">
        <v>44313</v>
      </c>
      <c r="X16" s="43">
        <f>IF(InvoiceTable[[#This Row],[Invoice Date]]="","",WORKDAY(InvoiceTable[[#This Row],[Invoice Date]],14))</f>
        <v>44333</v>
      </c>
      <c r="Y16" s="23" t="s">
        <v>141</v>
      </c>
      <c r="Z16" s="71">
        <v>44288</v>
      </c>
      <c r="AA16" s="40">
        <f>InvoiceTable[[#This Row],[Net Amount]]*InvoiceTable[[#This Row],[VAT]]</f>
        <v>0</v>
      </c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25">
      <c r="B17" s="23" t="s">
        <v>44</v>
      </c>
      <c r="C17" s="23" t="s">
        <v>258</v>
      </c>
      <c r="D17" s="51" t="s">
        <v>25</v>
      </c>
      <c r="E17" s="51" t="s">
        <v>26</v>
      </c>
      <c r="F17" s="51" t="s">
        <v>27</v>
      </c>
      <c r="G17" s="51"/>
      <c r="H17" s="65">
        <v>0</v>
      </c>
      <c r="I17" s="23" t="s">
        <v>201</v>
      </c>
      <c r="J17" s="24" t="s">
        <v>285</v>
      </c>
      <c r="K17" s="25">
        <v>1680</v>
      </c>
      <c r="L17" s="23"/>
      <c r="M17" s="23"/>
      <c r="N17" s="25"/>
      <c r="O17" s="23"/>
      <c r="P17" s="23"/>
      <c r="Q17" s="25"/>
      <c r="R17" s="7">
        <f>InvoiceTable[[#This Row],[Amount Line 1]]+InvoiceTable[[#This Row],[Amount Line 2]]+InvoiceTable[[#This Row],[Amount Line 3]]</f>
        <v>1680</v>
      </c>
      <c r="S17" s="41">
        <v>0</v>
      </c>
      <c r="T17" s="40">
        <f>SUM(InvoiceTable[[#This Row],[Agreed Amount Total]:[Additional Expenses]])</f>
        <v>1680</v>
      </c>
      <c r="U17" s="40">
        <f>InvoiceTable[[#This Row],[Net Amount]]+InvoiceTable[[#This Row],[VAT to Pay]]</f>
        <v>1680</v>
      </c>
      <c r="V17" s="60">
        <v>15049</v>
      </c>
      <c r="W17" s="42">
        <v>44313</v>
      </c>
      <c r="X17" s="43">
        <f>IF(InvoiceTable[[#This Row],[Invoice Date]]="","",WORKDAY(InvoiceTable[[#This Row],[Invoice Date]],14))</f>
        <v>44333</v>
      </c>
      <c r="Y17" s="23" t="s">
        <v>141</v>
      </c>
      <c r="Z17" s="71">
        <v>44289</v>
      </c>
      <c r="AA17" s="40">
        <f>InvoiceTable[[#This Row],[Net Amount]]*InvoiceTable[[#This Row],[VAT]]</f>
        <v>0</v>
      </c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s="38" customFormat="1" x14ac:dyDescent="0.25">
      <c r="A18" s="31"/>
      <c r="B18" s="23" t="s">
        <v>266</v>
      </c>
      <c r="C18" s="23" t="s">
        <v>259</v>
      </c>
      <c r="D18" s="51" t="s">
        <v>34</v>
      </c>
      <c r="E18" s="51" t="s">
        <v>33</v>
      </c>
      <c r="F18" s="51" t="s">
        <v>32</v>
      </c>
      <c r="G18" s="51"/>
      <c r="H18" s="65">
        <v>0</v>
      </c>
      <c r="I18" s="23" t="s">
        <v>202</v>
      </c>
      <c r="J18" s="24" t="s">
        <v>284</v>
      </c>
      <c r="K18" s="26">
        <v>1680</v>
      </c>
      <c r="L18" s="27"/>
      <c r="M18" s="27"/>
      <c r="N18" s="26"/>
      <c r="O18" s="27"/>
      <c r="P18" s="27"/>
      <c r="Q18" s="26"/>
      <c r="R18" s="7">
        <f>InvoiceTable[[#This Row],[Amount Line 1]]+InvoiceTable[[#This Row],[Amount Line 2]]+InvoiceTable[[#This Row],[Amount Line 3]]</f>
        <v>1680</v>
      </c>
      <c r="S18" s="52">
        <v>0</v>
      </c>
      <c r="T18" s="40">
        <f>SUM(InvoiceTable[[#This Row],[Agreed Amount Total]:[Additional Expenses]])</f>
        <v>1680</v>
      </c>
      <c r="U18" s="40">
        <f>InvoiceTable[[#This Row],[Net Amount]]+InvoiceTable[[#This Row],[VAT to Pay]]</f>
        <v>1680</v>
      </c>
      <c r="V18" s="60">
        <v>15050</v>
      </c>
      <c r="W18" s="53">
        <v>44320</v>
      </c>
      <c r="X18" s="54">
        <f>IF(InvoiceTable[[#This Row],[Invoice Date]]="","",WORKDAY(InvoiceTable[[#This Row],[Invoice Date]],14))</f>
        <v>44340</v>
      </c>
      <c r="Y18" s="23" t="s">
        <v>141</v>
      </c>
      <c r="Z18" s="71">
        <v>44290</v>
      </c>
      <c r="AA18" s="55">
        <f>InvoiceTable[[#This Row],[Net Amount]]*InvoiceTable[[#This Row],[VAT]]</f>
        <v>0</v>
      </c>
      <c r="AB18" s="31"/>
      <c r="AC18" s="31"/>
      <c r="AD18" s="23"/>
      <c r="AE18" s="23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</row>
    <row r="19" spans="1:49" s="38" customFormat="1" x14ac:dyDescent="0.25">
      <c r="A19" s="31"/>
      <c r="B19" s="46" t="s">
        <v>121</v>
      </c>
      <c r="C19" s="30" t="s">
        <v>249</v>
      </c>
      <c r="D19" s="48" t="s">
        <v>31</v>
      </c>
      <c r="E19" s="48" t="s">
        <v>33</v>
      </c>
      <c r="F19" s="48" t="s">
        <v>32</v>
      </c>
      <c r="G19" s="48"/>
      <c r="H19" s="66">
        <v>0</v>
      </c>
      <c r="I19" s="23" t="s">
        <v>203</v>
      </c>
      <c r="J19" s="24">
        <v>44329</v>
      </c>
      <c r="K19" s="26">
        <v>1680</v>
      </c>
      <c r="L19" s="27"/>
      <c r="M19" s="27"/>
      <c r="N19" s="26"/>
      <c r="O19" s="27"/>
      <c r="P19" s="27"/>
      <c r="Q19" s="26"/>
      <c r="R19" s="7">
        <f>InvoiceTable[[#This Row],[Amount Line 1]]+InvoiceTable[[#This Row],[Amount Line 2]]+InvoiceTable[[#This Row],[Amount Line 3]]</f>
        <v>1680</v>
      </c>
      <c r="S19" s="52">
        <v>0</v>
      </c>
      <c r="T19" s="40">
        <f>SUM(InvoiceTable[[#This Row],[Agreed Amount Total]:[Additional Expenses]])</f>
        <v>1680</v>
      </c>
      <c r="U19" s="40">
        <f>InvoiceTable[[#This Row],[Net Amount]]+InvoiceTable[[#This Row],[VAT to Pay]]</f>
        <v>1680</v>
      </c>
      <c r="V19" s="60">
        <v>15051</v>
      </c>
      <c r="W19" s="53">
        <v>44336</v>
      </c>
      <c r="X19" s="54">
        <f>IF(InvoiceTable[[#This Row],[Invoice Date]]="","",WORKDAY(InvoiceTable[[#This Row],[Invoice Date]],14))</f>
        <v>44356</v>
      </c>
      <c r="Y19" s="23" t="s">
        <v>141</v>
      </c>
      <c r="Z19" s="71">
        <v>44291</v>
      </c>
      <c r="AA19" s="55">
        <f>InvoiceTable[[#This Row],[Net Amount]]*InvoiceTable[[#This Row],[VAT]]</f>
        <v>0</v>
      </c>
      <c r="AB19" s="31"/>
      <c r="AC19" s="31"/>
      <c r="AD19" s="23"/>
      <c r="AE19" s="23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</row>
    <row r="20" spans="1:49" s="38" customFormat="1" x14ac:dyDescent="0.25">
      <c r="A20" s="31"/>
      <c r="B20" s="46" t="s">
        <v>120</v>
      </c>
      <c r="C20" s="45" t="s">
        <v>250</v>
      </c>
      <c r="D20" s="48" t="s">
        <v>36</v>
      </c>
      <c r="E20" s="48" t="s">
        <v>37</v>
      </c>
      <c r="F20" s="48" t="s">
        <v>38</v>
      </c>
      <c r="G20" s="48"/>
      <c r="H20" s="66">
        <v>0</v>
      </c>
      <c r="I20" s="23" t="s">
        <v>204</v>
      </c>
      <c r="J20" s="24" t="s">
        <v>279</v>
      </c>
      <c r="K20" s="26">
        <v>4000</v>
      </c>
      <c r="L20" s="27"/>
      <c r="M20" s="27"/>
      <c r="N20" s="26"/>
      <c r="O20" s="27"/>
      <c r="P20" s="27"/>
      <c r="Q20" s="26"/>
      <c r="R20" s="7">
        <f>InvoiceTable[[#This Row],[Amount Line 1]]+InvoiceTable[[#This Row],[Amount Line 2]]+InvoiceTable[[#This Row],[Amount Line 3]]</f>
        <v>4000</v>
      </c>
      <c r="S20" s="52">
        <v>0</v>
      </c>
      <c r="T20" s="40">
        <f>SUM(InvoiceTable[[#This Row],[Agreed Amount Total]:[Additional Expenses]])</f>
        <v>4000</v>
      </c>
      <c r="U20" s="40">
        <f>InvoiceTable[[#This Row],[Net Amount]]+InvoiceTable[[#This Row],[VAT to Pay]]</f>
        <v>4000</v>
      </c>
      <c r="V20" s="60">
        <v>15052</v>
      </c>
      <c r="W20" s="53">
        <v>44348</v>
      </c>
      <c r="X20" s="54">
        <f>IF(InvoiceTable[[#This Row],[Invoice Date]]="","",WORKDAY(InvoiceTable[[#This Row],[Invoice Date]],14))</f>
        <v>44368</v>
      </c>
      <c r="Y20" s="23" t="s">
        <v>141</v>
      </c>
      <c r="Z20" s="71">
        <v>44292</v>
      </c>
      <c r="AA20" s="55">
        <f>InvoiceTable[[#This Row],[Net Amount]]*InvoiceTable[[#This Row],[VAT]]</f>
        <v>0</v>
      </c>
      <c r="AB20" s="31"/>
      <c r="AC20" s="31"/>
      <c r="AD20" s="23"/>
      <c r="AE20" s="23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</row>
    <row r="21" spans="1:49" s="38" customFormat="1" x14ac:dyDescent="0.25">
      <c r="A21" s="31"/>
      <c r="B21" s="46" t="s">
        <v>46</v>
      </c>
      <c r="C21" s="45" t="s">
        <v>251</v>
      </c>
      <c r="D21" s="48" t="s">
        <v>34</v>
      </c>
      <c r="E21" s="48" t="s">
        <v>33</v>
      </c>
      <c r="F21" s="48" t="s">
        <v>32</v>
      </c>
      <c r="G21" s="48"/>
      <c r="H21" s="66">
        <v>0</v>
      </c>
      <c r="I21" s="23" t="s">
        <v>205</v>
      </c>
      <c r="J21" s="24">
        <v>44322</v>
      </c>
      <c r="K21" s="26">
        <v>3000</v>
      </c>
      <c r="L21" s="27"/>
      <c r="M21" s="27"/>
      <c r="N21" s="26"/>
      <c r="O21" s="27"/>
      <c r="P21" s="27"/>
      <c r="Q21" s="26"/>
      <c r="R21" s="7">
        <f>InvoiceTable[[#This Row],[Amount Line 1]]+InvoiceTable[[#This Row],[Amount Line 2]]+InvoiceTable[[#This Row],[Amount Line 3]]</f>
        <v>3000</v>
      </c>
      <c r="S21" s="52">
        <v>0</v>
      </c>
      <c r="T21" s="40">
        <f>SUM(InvoiceTable[[#This Row],[Agreed Amount Total]:[Additional Expenses]])</f>
        <v>3000</v>
      </c>
      <c r="U21" s="40">
        <f>InvoiceTable[[#This Row],[Net Amount]]+InvoiceTable[[#This Row],[VAT to Pay]]</f>
        <v>3000</v>
      </c>
      <c r="V21" s="60">
        <v>15053</v>
      </c>
      <c r="W21" s="53">
        <v>44369</v>
      </c>
      <c r="X21" s="54">
        <f>IF(InvoiceTable[[#This Row],[Invoice Date]]="","",WORKDAY(InvoiceTable[[#This Row],[Invoice Date]],14))</f>
        <v>44389</v>
      </c>
      <c r="Y21" s="23" t="s">
        <v>141</v>
      </c>
      <c r="Z21" s="71">
        <v>44293</v>
      </c>
      <c r="AA21" s="55">
        <f>InvoiceTable[[#This Row],[Net Amount]]*InvoiceTable[[#This Row],[VAT]]</f>
        <v>0</v>
      </c>
      <c r="AB21" s="31"/>
      <c r="AC21" s="31"/>
      <c r="AD21" s="23"/>
      <c r="AE21" s="23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</row>
    <row r="22" spans="1:49" s="38" customFormat="1" x14ac:dyDescent="0.25">
      <c r="A22" s="31"/>
      <c r="B22" s="23" t="s">
        <v>267</v>
      </c>
      <c r="C22" s="30" t="s">
        <v>252</v>
      </c>
      <c r="D22" s="51" t="s">
        <v>39</v>
      </c>
      <c r="E22" s="51" t="s">
        <v>41</v>
      </c>
      <c r="F22" s="51" t="s">
        <v>40</v>
      </c>
      <c r="G22" s="51"/>
      <c r="H22" s="65">
        <v>0</v>
      </c>
      <c r="I22" s="23" t="s">
        <v>206</v>
      </c>
      <c r="J22" s="28">
        <v>44383</v>
      </c>
      <c r="K22" s="26">
        <v>2400</v>
      </c>
      <c r="L22" s="27"/>
      <c r="M22" s="27"/>
      <c r="N22" s="26"/>
      <c r="O22" s="27"/>
      <c r="P22" s="27"/>
      <c r="Q22" s="26"/>
      <c r="R22" s="7">
        <f>InvoiceTable[[#This Row],[Amount Line 1]]+InvoiceTable[[#This Row],[Amount Line 2]]+InvoiceTable[[#This Row],[Amount Line 3]]</f>
        <v>2400</v>
      </c>
      <c r="S22" s="52">
        <v>0</v>
      </c>
      <c r="T22" s="40">
        <f>SUM(InvoiceTable[[#This Row],[Agreed Amount Total]:[Additional Expenses]])</f>
        <v>2400</v>
      </c>
      <c r="U22" s="40">
        <f>InvoiceTable[[#This Row],[Net Amount]]+InvoiceTable[[#This Row],[VAT to Pay]]</f>
        <v>2400</v>
      </c>
      <c r="V22" s="60">
        <v>15054</v>
      </c>
      <c r="W22" s="53">
        <v>44411</v>
      </c>
      <c r="X22" s="54">
        <f>IF(InvoiceTable[[#This Row],[Invoice Date]]="","",WORKDAY(InvoiceTable[[#This Row],[Invoice Date]],14))</f>
        <v>44431</v>
      </c>
      <c r="Y22" s="23" t="s">
        <v>141</v>
      </c>
      <c r="Z22" s="71">
        <v>44294</v>
      </c>
      <c r="AA22" s="55">
        <f>InvoiceTable[[#This Row],[Net Amount]]*InvoiceTable[[#This Row],[VAT]]</f>
        <v>0</v>
      </c>
      <c r="AB22" s="31"/>
      <c r="AC22" s="31"/>
      <c r="AD22" s="23"/>
      <c r="AE22" s="23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</row>
    <row r="23" spans="1:49" s="38" customFormat="1" x14ac:dyDescent="0.25">
      <c r="A23" s="31"/>
      <c r="B23" s="46" t="s">
        <v>268</v>
      </c>
      <c r="C23" s="30" t="s">
        <v>253</v>
      </c>
      <c r="D23" s="48" t="s">
        <v>31</v>
      </c>
      <c r="E23" s="48" t="s">
        <v>33</v>
      </c>
      <c r="F23" s="48" t="s">
        <v>32</v>
      </c>
      <c r="G23" s="48"/>
      <c r="H23" s="66">
        <v>0</v>
      </c>
      <c r="I23" s="23" t="s">
        <v>207</v>
      </c>
      <c r="J23" s="28" t="s">
        <v>278</v>
      </c>
      <c r="K23" s="26">
        <v>3060</v>
      </c>
      <c r="L23" s="27"/>
      <c r="M23" s="27"/>
      <c r="N23" s="26"/>
      <c r="O23" s="27"/>
      <c r="P23" s="27"/>
      <c r="Q23" s="26"/>
      <c r="R23" s="7">
        <f>InvoiceTable[[#This Row],[Amount Line 1]]+InvoiceTable[[#This Row],[Amount Line 2]]+InvoiceTable[[#This Row],[Amount Line 3]]</f>
        <v>3060</v>
      </c>
      <c r="S23" s="52">
        <v>0</v>
      </c>
      <c r="T23" s="40">
        <f>SUM(InvoiceTable[[#This Row],[Agreed Amount Total]:[Additional Expenses]])</f>
        <v>3060</v>
      </c>
      <c r="U23" s="40">
        <f>InvoiceTable[[#This Row],[Net Amount]]+InvoiceTable[[#This Row],[VAT to Pay]]</f>
        <v>3060</v>
      </c>
      <c r="V23" s="60">
        <v>15055</v>
      </c>
      <c r="W23" s="53">
        <v>44527</v>
      </c>
      <c r="X23" s="54">
        <f>IF(InvoiceTable[[#This Row],[Invoice Date]]="","",WORKDAY(InvoiceTable[[#This Row],[Invoice Date]],14))</f>
        <v>44546</v>
      </c>
      <c r="Y23" s="23" t="s">
        <v>227</v>
      </c>
      <c r="Z23" s="71">
        <v>44295</v>
      </c>
      <c r="AA23" s="55">
        <f>InvoiceTable[[#This Row],[Net Amount]]*InvoiceTable[[#This Row],[VAT]]</f>
        <v>0</v>
      </c>
      <c r="AB23" s="31"/>
      <c r="AC23" s="31"/>
      <c r="AD23" s="23"/>
      <c r="AE23" s="23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</row>
    <row r="24" spans="1:49" s="38" customFormat="1" x14ac:dyDescent="0.25">
      <c r="A24" s="31"/>
      <c r="B24" s="46" t="s">
        <v>269</v>
      </c>
      <c r="C24" s="45" t="s">
        <v>254</v>
      </c>
      <c r="D24" s="48" t="s">
        <v>31</v>
      </c>
      <c r="E24" s="48" t="s">
        <v>33</v>
      </c>
      <c r="F24" s="48" t="s">
        <v>32</v>
      </c>
      <c r="G24" s="48"/>
      <c r="H24" s="66">
        <v>0</v>
      </c>
      <c r="I24" s="23" t="s">
        <v>208</v>
      </c>
      <c r="J24" s="28">
        <v>44434</v>
      </c>
      <c r="K24" s="26">
        <v>1375</v>
      </c>
      <c r="L24" s="27"/>
      <c r="M24" s="27"/>
      <c r="N24" s="26"/>
      <c r="O24" s="27"/>
      <c r="P24" s="27"/>
      <c r="Q24" s="26"/>
      <c r="R24" s="7">
        <f>InvoiceTable[[#This Row],[Amount Line 1]]+InvoiceTable[[#This Row],[Amount Line 2]]+InvoiceTable[[#This Row],[Amount Line 3]]</f>
        <v>1375</v>
      </c>
      <c r="S24" s="52">
        <v>0</v>
      </c>
      <c r="T24" s="40">
        <f>SUM(InvoiceTable[[#This Row],[Agreed Amount Total]:[Additional Expenses]])</f>
        <v>1375</v>
      </c>
      <c r="U24" s="40">
        <f>InvoiceTable[[#This Row],[Net Amount]]+InvoiceTable[[#This Row],[VAT to Pay]]</f>
        <v>1375</v>
      </c>
      <c r="V24" s="60">
        <v>15056</v>
      </c>
      <c r="W24" s="53">
        <v>44454</v>
      </c>
      <c r="X24" s="54">
        <f>IF(InvoiceTable[[#This Row],[Invoice Date]]="","",WORKDAY(InvoiceTable[[#This Row],[Invoice Date]],14))</f>
        <v>44474</v>
      </c>
      <c r="Y24" s="23" t="s">
        <v>141</v>
      </c>
      <c r="Z24" s="71">
        <v>44296</v>
      </c>
      <c r="AA24" s="55">
        <f>InvoiceTable[[#This Row],[Net Amount]]*InvoiceTable[[#This Row],[VAT]]</f>
        <v>0</v>
      </c>
      <c r="AB24" s="31"/>
      <c r="AC24" s="31"/>
      <c r="AD24" s="23"/>
      <c r="AE24" s="23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</row>
    <row r="25" spans="1:49" s="38" customFormat="1" x14ac:dyDescent="0.25">
      <c r="A25" s="31"/>
      <c r="B25" s="46" t="s">
        <v>120</v>
      </c>
      <c r="C25" s="47" t="s">
        <v>255</v>
      </c>
      <c r="D25" s="48" t="s">
        <v>36</v>
      </c>
      <c r="E25" s="48" t="s">
        <v>37</v>
      </c>
      <c r="F25" s="48" t="s">
        <v>38</v>
      </c>
      <c r="G25" s="48"/>
      <c r="H25" s="66">
        <v>0</v>
      </c>
      <c r="I25" s="23" t="s">
        <v>209</v>
      </c>
      <c r="J25" s="28">
        <v>44462</v>
      </c>
      <c r="K25" s="26">
        <v>4000</v>
      </c>
      <c r="L25" s="27"/>
      <c r="M25" s="27"/>
      <c r="N25" s="26"/>
      <c r="O25" s="27"/>
      <c r="P25" s="27"/>
      <c r="Q25" s="26"/>
      <c r="R25" s="7">
        <f>InvoiceTable[[#This Row],[Amount Line 1]]+InvoiceTable[[#This Row],[Amount Line 2]]+InvoiceTable[[#This Row],[Amount Line 3]]</f>
        <v>4000</v>
      </c>
      <c r="S25" s="52">
        <v>0</v>
      </c>
      <c r="T25" s="40">
        <f>SUM(InvoiceTable[[#This Row],[Agreed Amount Total]:[Additional Expenses]])</f>
        <v>4000</v>
      </c>
      <c r="U25" s="40">
        <f>InvoiceTable[[#This Row],[Net Amount]]+InvoiceTable[[#This Row],[VAT to Pay]]</f>
        <v>4000</v>
      </c>
      <c r="V25" s="60">
        <v>15057</v>
      </c>
      <c r="W25" s="53">
        <v>44476</v>
      </c>
      <c r="X25" s="54">
        <f>IF(InvoiceTable[[#This Row],[Invoice Date]]="","",WORKDAY(InvoiceTable[[#This Row],[Invoice Date]],14))</f>
        <v>44496</v>
      </c>
      <c r="Y25" s="23" t="s">
        <v>141</v>
      </c>
      <c r="Z25" s="71">
        <v>44297</v>
      </c>
      <c r="AA25" s="55">
        <f>InvoiceTable[[#This Row],[Net Amount]]*InvoiceTable[[#This Row],[VAT]]</f>
        <v>0</v>
      </c>
      <c r="AB25" s="31"/>
      <c r="AC25" s="31"/>
      <c r="AD25" s="23"/>
      <c r="AE25" s="23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</row>
    <row r="26" spans="1:49" x14ac:dyDescent="0.25">
      <c r="B26" s="23" t="s">
        <v>48</v>
      </c>
      <c r="C26" s="47" t="s">
        <v>256</v>
      </c>
      <c r="D26" s="51" t="s">
        <v>39</v>
      </c>
      <c r="E26" s="51" t="s">
        <v>41</v>
      </c>
      <c r="F26" s="51" t="s">
        <v>40</v>
      </c>
      <c r="G26" s="51"/>
      <c r="H26" s="65">
        <v>0</v>
      </c>
      <c r="I26" s="23" t="s">
        <v>210</v>
      </c>
      <c r="J26" s="24">
        <v>44489</v>
      </c>
      <c r="K26" s="25">
        <v>840</v>
      </c>
      <c r="L26" s="23"/>
      <c r="M26" s="23"/>
      <c r="N26" s="25"/>
      <c r="O26" s="23"/>
      <c r="P26" s="23"/>
      <c r="Q26" s="25"/>
      <c r="R26" s="7">
        <f>InvoiceTable[[#This Row],[Amount Line 1]]+InvoiceTable[[#This Row],[Amount Line 2]]+InvoiceTable[[#This Row],[Amount Line 3]]</f>
        <v>840</v>
      </c>
      <c r="S26" s="41">
        <v>0</v>
      </c>
      <c r="T26" s="40">
        <f>SUM(InvoiceTable[[#This Row],[Agreed Amount Total]:[Additional Expenses]])</f>
        <v>840</v>
      </c>
      <c r="U26" s="40">
        <f>InvoiceTable[[#This Row],[Net Amount]]+InvoiceTable[[#This Row],[VAT to Pay]]</f>
        <v>840</v>
      </c>
      <c r="V26" s="60">
        <v>15058</v>
      </c>
      <c r="W26" s="42">
        <v>44505</v>
      </c>
      <c r="X26" s="43">
        <f>IF(InvoiceTable[[#This Row],[Invoice Date]]="","",WORKDAY(InvoiceTable[[#This Row],[Invoice Date]],14))</f>
        <v>44525</v>
      </c>
      <c r="Y26" s="23" t="s">
        <v>141</v>
      </c>
      <c r="Z26" s="71">
        <v>44298</v>
      </c>
      <c r="AA26" s="40">
        <f>InvoiceTable[[#This Row],[Net Amount]]*InvoiceTable[[#This Row],[VAT]]</f>
        <v>0</v>
      </c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ht="15" customHeight="1" x14ac:dyDescent="0.25">
      <c r="B27" s="23" t="s">
        <v>270</v>
      </c>
      <c r="C27" s="50" t="s">
        <v>257</v>
      </c>
      <c r="D27" s="51" t="s">
        <v>31</v>
      </c>
      <c r="E27" s="51" t="s">
        <v>33</v>
      </c>
      <c r="F27" s="51" t="s">
        <v>32</v>
      </c>
      <c r="G27" s="51"/>
      <c r="H27" s="65">
        <v>0</v>
      </c>
      <c r="I27" s="23" t="s">
        <v>211</v>
      </c>
      <c r="J27" s="24" t="s">
        <v>277</v>
      </c>
      <c r="K27" s="25">
        <v>3600</v>
      </c>
      <c r="L27" s="23"/>
      <c r="M27" s="23"/>
      <c r="N27" s="25"/>
      <c r="O27" s="23"/>
      <c r="P27" s="23"/>
      <c r="Q27" s="25"/>
      <c r="R27" s="7">
        <f>InvoiceTable[[#This Row],[Amount Line 1]]+InvoiceTable[[#This Row],[Amount Line 2]]+InvoiceTable[[#This Row],[Amount Line 3]]</f>
        <v>3600</v>
      </c>
      <c r="S27" s="41">
        <v>0</v>
      </c>
      <c r="T27" s="40">
        <f>SUM(InvoiceTable[[#This Row],[Agreed Amount Total]:[Additional Expenses]])</f>
        <v>3600</v>
      </c>
      <c r="U27" s="40">
        <f>InvoiceTable[[#This Row],[Net Amount]]+InvoiceTable[[#This Row],[VAT to Pay]]</f>
        <v>3600</v>
      </c>
      <c r="V27" s="60">
        <v>15059</v>
      </c>
      <c r="W27" s="42">
        <v>44531</v>
      </c>
      <c r="X27" s="43">
        <f>IF(InvoiceTable[[#This Row],[Invoice Date]]="","",WORKDAY(InvoiceTable[[#This Row],[Invoice Date]],14))</f>
        <v>44551</v>
      </c>
      <c r="Y27" s="23" t="s">
        <v>141</v>
      </c>
      <c r="Z27" s="71">
        <v>44299</v>
      </c>
      <c r="AA27" s="40">
        <f>InvoiceTable[[#This Row],[Net Amount]]*InvoiceTable[[#This Row],[VAT]]</f>
        <v>0</v>
      </c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25">
      <c r="B28" s="23" t="s">
        <v>271</v>
      </c>
      <c r="C28" s="23" t="s">
        <v>258</v>
      </c>
      <c r="D28" s="51" t="s">
        <v>39</v>
      </c>
      <c r="E28" s="51" t="s">
        <v>41</v>
      </c>
      <c r="F28" s="51" t="s">
        <v>40</v>
      </c>
      <c r="G28" s="51"/>
      <c r="H28" s="65">
        <v>0</v>
      </c>
      <c r="I28" s="23" t="s">
        <v>286</v>
      </c>
      <c r="J28" s="24">
        <v>44323</v>
      </c>
      <c r="K28" s="25">
        <v>3600</v>
      </c>
      <c r="L28" s="23"/>
      <c r="M28" s="23"/>
      <c r="N28" s="25"/>
      <c r="O28" s="23"/>
      <c r="P28" s="23"/>
      <c r="Q28" s="25"/>
      <c r="R28" s="7">
        <f>InvoiceTable[[#This Row],[Amount Line 1]]+InvoiceTable[[#This Row],[Amount Line 2]]+InvoiceTable[[#This Row],[Amount Line 3]]</f>
        <v>3600</v>
      </c>
      <c r="S28" s="41"/>
      <c r="T28" s="40">
        <f>SUM(InvoiceTable[[#This Row],[Agreed Amount Total]:[Additional Expenses]])</f>
        <v>3600</v>
      </c>
      <c r="U28" s="40">
        <f>InvoiceTable[[#This Row],[Net Amount]]+InvoiceTable[[#This Row],[VAT to Pay]]</f>
        <v>3600</v>
      </c>
      <c r="V28" s="60">
        <v>15060</v>
      </c>
      <c r="W28" s="42">
        <v>44198</v>
      </c>
      <c r="X28" s="43">
        <f>IF(InvoiceTable[[#This Row],[Invoice Date]]="","",WORKDAY(InvoiceTable[[#This Row],[Invoice Date]],14))</f>
        <v>44217</v>
      </c>
      <c r="Y28" s="23" t="s">
        <v>141</v>
      </c>
      <c r="Z28" s="71">
        <v>44300</v>
      </c>
      <c r="AA28" s="40">
        <f>InvoiceTable[[#This Row],[Net Amount]]*InvoiceTable[[#This Row],[VAT]]</f>
        <v>0</v>
      </c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25">
      <c r="B29" s="46" t="s">
        <v>121</v>
      </c>
      <c r="C29" s="23" t="s">
        <v>259</v>
      </c>
      <c r="D29" s="48" t="s">
        <v>31</v>
      </c>
      <c r="E29" s="48" t="s">
        <v>33</v>
      </c>
      <c r="F29" s="48" t="s">
        <v>32</v>
      </c>
      <c r="G29" s="51"/>
      <c r="H29" s="65">
        <v>0</v>
      </c>
      <c r="I29" s="23" t="s">
        <v>287</v>
      </c>
      <c r="J29" s="24">
        <v>44330</v>
      </c>
      <c r="K29" s="25">
        <v>2700</v>
      </c>
      <c r="L29" s="23"/>
      <c r="M29" s="23"/>
      <c r="N29" s="25"/>
      <c r="O29" s="23"/>
      <c r="P29" s="23"/>
      <c r="Q29" s="25"/>
      <c r="R29" s="7">
        <f>InvoiceTable[[#This Row],[Amount Line 1]]+InvoiceTable[[#This Row],[Amount Line 2]]+InvoiceTable[[#This Row],[Amount Line 3]]</f>
        <v>2700</v>
      </c>
      <c r="S29" s="41"/>
      <c r="T29" s="40">
        <f>SUM(InvoiceTable[[#This Row],[Agreed Amount Total]:[Additional Expenses]])</f>
        <v>2700</v>
      </c>
      <c r="U29" s="40">
        <f>InvoiceTable[[#This Row],[Net Amount]]+InvoiceTable[[#This Row],[VAT to Pay]]</f>
        <v>2700</v>
      </c>
      <c r="V29" s="60">
        <v>15061</v>
      </c>
      <c r="W29" s="42">
        <v>44198</v>
      </c>
      <c r="X29" s="43">
        <f>IF(InvoiceTable[[#This Row],[Invoice Date]]="","",WORKDAY(InvoiceTable[[#This Row],[Invoice Date]],14))</f>
        <v>44217</v>
      </c>
      <c r="Y29" s="23" t="s">
        <v>141</v>
      </c>
      <c r="Z29" s="71">
        <v>44301</v>
      </c>
      <c r="AA29" s="40">
        <f>InvoiceTable[[#This Row],[Net Amount]]*InvoiceTable[[#This Row],[VAT]]</f>
        <v>0</v>
      </c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25">
      <c r="B30" s="23" t="s">
        <v>48</v>
      </c>
      <c r="C30" s="45" t="s">
        <v>251</v>
      </c>
      <c r="D30" s="51" t="s">
        <v>39</v>
      </c>
      <c r="E30" s="51" t="s">
        <v>41</v>
      </c>
      <c r="F30" s="51" t="s">
        <v>40</v>
      </c>
      <c r="G30" s="51"/>
      <c r="H30" s="65">
        <v>0</v>
      </c>
      <c r="I30" s="23" t="s">
        <v>288</v>
      </c>
      <c r="J30" s="24">
        <v>44341</v>
      </c>
      <c r="K30" s="25">
        <v>1800</v>
      </c>
      <c r="L30" s="23"/>
      <c r="M30" s="23"/>
      <c r="N30" s="25"/>
      <c r="O30" s="23"/>
      <c r="P30" s="23"/>
      <c r="Q30" s="25"/>
      <c r="R30" s="7">
        <f>InvoiceTable[[#This Row],[Amount Line 1]]+InvoiceTable[[#This Row],[Amount Line 2]]+InvoiceTable[[#This Row],[Amount Line 3]]</f>
        <v>1800</v>
      </c>
      <c r="S30" s="41"/>
      <c r="T30" s="40">
        <f>SUM(InvoiceTable[[#This Row],[Agreed Amount Total]:[Additional Expenses]])</f>
        <v>1800</v>
      </c>
      <c r="U30" s="40">
        <f>InvoiceTable[[#This Row],[Net Amount]]+InvoiceTable[[#This Row],[VAT to Pay]]</f>
        <v>1800</v>
      </c>
      <c r="V30" s="60">
        <v>15064</v>
      </c>
      <c r="W30" s="42">
        <v>44208</v>
      </c>
      <c r="X30" s="43">
        <f>IF(InvoiceTable[[#This Row],[Invoice Date]]="","",WORKDAY(InvoiceTable[[#This Row],[Invoice Date]],14))</f>
        <v>44228</v>
      </c>
      <c r="Y30" s="23" t="s">
        <v>141</v>
      </c>
      <c r="Z30" s="71">
        <v>44302</v>
      </c>
      <c r="AA30" s="40">
        <f>InvoiceTable[[#This Row],[Net Amount]]*InvoiceTable[[#This Row],[VAT]]</f>
        <v>0</v>
      </c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25">
      <c r="B31" s="29" t="s">
        <v>44</v>
      </c>
      <c r="C31" s="30" t="s">
        <v>252</v>
      </c>
      <c r="D31" s="39" t="s">
        <v>25</v>
      </c>
      <c r="E31" s="39" t="s">
        <v>26</v>
      </c>
      <c r="F31" s="39" t="s">
        <v>27</v>
      </c>
      <c r="G31" s="39"/>
      <c r="H31" s="65">
        <v>0</v>
      </c>
      <c r="I31" s="23" t="s">
        <v>289</v>
      </c>
      <c r="J31" s="24">
        <v>44361</v>
      </c>
      <c r="K31" s="25">
        <v>9900</v>
      </c>
      <c r="L31" s="23"/>
      <c r="M31" s="23"/>
      <c r="N31" s="25"/>
      <c r="O31" s="23"/>
      <c r="P31" s="23"/>
      <c r="Q31" s="25"/>
      <c r="R31" s="7">
        <f>InvoiceTable[[#This Row],[Amount Line 1]]+InvoiceTable[[#This Row],[Amount Line 2]]+InvoiceTable[[#This Row],[Amount Line 3]]</f>
        <v>9900</v>
      </c>
      <c r="S31" s="41"/>
      <c r="T31" s="40">
        <f>SUM(InvoiceTable[[#This Row],[Agreed Amount Total]:[Additional Expenses]])</f>
        <v>9900</v>
      </c>
      <c r="U31" s="40">
        <f>InvoiceTable[[#This Row],[Net Amount]]+InvoiceTable[[#This Row],[VAT to Pay]]</f>
        <v>9900</v>
      </c>
      <c r="V31" s="60">
        <v>15065</v>
      </c>
      <c r="W31" s="42">
        <v>44229</v>
      </c>
      <c r="X31" s="43">
        <f>IF(InvoiceTable[[#This Row],[Invoice Date]]="","",WORKDAY(InvoiceTable[[#This Row],[Invoice Date]],14))</f>
        <v>44249</v>
      </c>
      <c r="Y31" s="23" t="s">
        <v>141</v>
      </c>
      <c r="Z31" s="71">
        <v>44303</v>
      </c>
      <c r="AA31" s="40">
        <f>InvoiceTable[[#This Row],[Net Amount]]*InvoiceTable[[#This Row],[VAT]]</f>
        <v>0</v>
      </c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25">
      <c r="B32" s="29" t="s">
        <v>63</v>
      </c>
      <c r="C32" s="30" t="s">
        <v>253</v>
      </c>
      <c r="D32" s="39" t="s">
        <v>60</v>
      </c>
      <c r="E32" s="39" t="s">
        <v>61</v>
      </c>
      <c r="F32" s="39" t="s">
        <v>272</v>
      </c>
      <c r="G32" s="39" t="s">
        <v>110</v>
      </c>
      <c r="H32" s="64">
        <v>0.2</v>
      </c>
      <c r="I32" s="23" t="s">
        <v>290</v>
      </c>
      <c r="J32" s="24">
        <v>44361</v>
      </c>
      <c r="K32" s="25">
        <v>4500</v>
      </c>
      <c r="L32" s="23"/>
      <c r="M32" s="23"/>
      <c r="N32" s="25"/>
      <c r="O32" s="23"/>
      <c r="P32" s="23"/>
      <c r="Q32" s="25"/>
      <c r="R32" s="7">
        <f>InvoiceTable[[#This Row],[Amount Line 1]]+InvoiceTable[[#This Row],[Amount Line 2]]+InvoiceTable[[#This Row],[Amount Line 3]]</f>
        <v>4500</v>
      </c>
      <c r="S32" s="41"/>
      <c r="T32" s="40">
        <f>SUM(InvoiceTable[[#This Row],[Agreed Amount Total]:[Additional Expenses]])</f>
        <v>4500</v>
      </c>
      <c r="U32" s="40">
        <f>InvoiceTable[[#This Row],[Net Amount]]+InvoiceTable[[#This Row],[VAT to Pay]]</f>
        <v>5400</v>
      </c>
      <c r="V32" s="60">
        <v>15066</v>
      </c>
      <c r="W32" s="42">
        <v>44229</v>
      </c>
      <c r="X32" s="43">
        <f>IF(InvoiceTable[[#This Row],[Invoice Date]]="","",WORKDAY(InvoiceTable[[#This Row],[Invoice Date]],14))</f>
        <v>44249</v>
      </c>
      <c r="Y32" s="23" t="s">
        <v>141</v>
      </c>
      <c r="Z32" s="71">
        <v>44304</v>
      </c>
      <c r="AA32" s="40">
        <f>InvoiceTable[[#This Row],[Net Amount]]*InvoiceTable[[#This Row],[VAT]]</f>
        <v>900</v>
      </c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2:49" x14ac:dyDescent="0.25">
      <c r="B33" s="29" t="s">
        <v>65</v>
      </c>
      <c r="C33" s="45" t="s">
        <v>254</v>
      </c>
      <c r="D33" s="39" t="s">
        <v>60</v>
      </c>
      <c r="E33" s="39" t="s">
        <v>61</v>
      </c>
      <c r="F33" s="39" t="s">
        <v>272</v>
      </c>
      <c r="G33" s="39" t="s">
        <v>107</v>
      </c>
      <c r="H33" s="64">
        <v>0.2</v>
      </c>
      <c r="I33" s="23" t="s">
        <v>291</v>
      </c>
      <c r="J33" s="24">
        <v>44361</v>
      </c>
      <c r="K33" s="25">
        <v>1800</v>
      </c>
      <c r="L33" s="23"/>
      <c r="M33" s="23"/>
      <c r="N33" s="25"/>
      <c r="O33" s="23"/>
      <c r="P33" s="23"/>
      <c r="Q33" s="25"/>
      <c r="R33" s="7">
        <f>InvoiceTable[[#This Row],[Amount Line 1]]+InvoiceTable[[#This Row],[Amount Line 2]]+InvoiceTable[[#This Row],[Amount Line 3]]</f>
        <v>1800</v>
      </c>
      <c r="S33" s="41"/>
      <c r="T33" s="40">
        <f>SUM(InvoiceTable[[#This Row],[Agreed Amount Total]:[Additional Expenses]])</f>
        <v>1800</v>
      </c>
      <c r="U33" s="40">
        <f>InvoiceTable[[#This Row],[Net Amount]]+InvoiceTable[[#This Row],[VAT to Pay]]</f>
        <v>2160</v>
      </c>
      <c r="V33" s="60">
        <v>15067</v>
      </c>
      <c r="W33" s="42">
        <v>44229</v>
      </c>
      <c r="X33" s="43">
        <f>IF(InvoiceTable[[#This Row],[Invoice Date]]="","",WORKDAY(InvoiceTable[[#This Row],[Invoice Date]],14))</f>
        <v>44249</v>
      </c>
      <c r="Y33" s="23" t="s">
        <v>141</v>
      </c>
      <c r="Z33" s="71">
        <v>44305</v>
      </c>
      <c r="AA33" s="40">
        <f>InvoiceTable[[#This Row],[Net Amount]]*InvoiceTable[[#This Row],[VAT]]</f>
        <v>360</v>
      </c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2:49" x14ac:dyDescent="0.25">
      <c r="B34" s="29" t="s">
        <v>121</v>
      </c>
      <c r="C34" s="47" t="s">
        <v>255</v>
      </c>
      <c r="D34" s="39" t="s">
        <v>31</v>
      </c>
      <c r="E34" s="39" t="s">
        <v>33</v>
      </c>
      <c r="F34" s="39" t="s">
        <v>32</v>
      </c>
      <c r="G34" s="39"/>
      <c r="H34" s="64">
        <v>0</v>
      </c>
      <c r="I34" s="23" t="s">
        <v>292</v>
      </c>
      <c r="J34" s="24">
        <v>44362</v>
      </c>
      <c r="K34" s="25">
        <v>800</v>
      </c>
      <c r="L34" s="23"/>
      <c r="M34" s="23"/>
      <c r="N34" s="25"/>
      <c r="O34" s="23"/>
      <c r="P34" s="23"/>
      <c r="Q34" s="25"/>
      <c r="R34" s="7">
        <f>InvoiceTable[[#This Row],[Amount Line 1]]+InvoiceTable[[#This Row],[Amount Line 2]]+InvoiceTable[[#This Row],[Amount Line 3]]</f>
        <v>800</v>
      </c>
      <c r="S34" s="41"/>
      <c r="T34" s="40">
        <f>SUM(InvoiceTable[[#This Row],[Agreed Amount Total]:[Additional Expenses]])</f>
        <v>800</v>
      </c>
      <c r="U34" s="40">
        <f>InvoiceTable[[#This Row],[Net Amount]]+InvoiceTable[[#This Row],[VAT to Pay]]</f>
        <v>800</v>
      </c>
      <c r="V34" s="60">
        <v>15068</v>
      </c>
      <c r="W34" s="42">
        <v>44229</v>
      </c>
      <c r="X34" s="43">
        <f>IF(InvoiceTable[[#This Row],[Invoice Date]]="","",WORKDAY(InvoiceTable[[#This Row],[Invoice Date]],14))</f>
        <v>44249</v>
      </c>
      <c r="Y34" s="23" t="s">
        <v>141</v>
      </c>
      <c r="Z34" s="71">
        <v>44306</v>
      </c>
      <c r="AA34" s="40">
        <f>InvoiceTable[[#This Row],[Net Amount]]*InvoiceTable[[#This Row],[VAT]]</f>
        <v>0</v>
      </c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2:49" x14ac:dyDescent="0.25">
      <c r="B35" s="46" t="s">
        <v>247</v>
      </c>
      <c r="C35" s="47" t="s">
        <v>256</v>
      </c>
      <c r="D35" s="48" t="s">
        <v>22</v>
      </c>
      <c r="E35" s="48" t="s">
        <v>23</v>
      </c>
      <c r="F35" s="48" t="s">
        <v>24</v>
      </c>
      <c r="G35" s="48"/>
      <c r="H35" s="66">
        <v>0</v>
      </c>
      <c r="I35" s="23" t="s">
        <v>293</v>
      </c>
      <c r="J35" s="24">
        <v>44406</v>
      </c>
      <c r="K35" s="25">
        <v>1800</v>
      </c>
      <c r="L35" s="23"/>
      <c r="M35" s="23"/>
      <c r="N35" s="25"/>
      <c r="O35" s="23"/>
      <c r="P35" s="23"/>
      <c r="Q35" s="25"/>
      <c r="R35" s="7">
        <f>InvoiceTable[[#This Row],[Amount Line 1]]+InvoiceTable[[#This Row],[Amount Line 2]]+InvoiceTable[[#This Row],[Amount Line 3]]</f>
        <v>1800</v>
      </c>
      <c r="S35" s="41"/>
      <c r="T35" s="40">
        <f>SUM(InvoiceTable[[#This Row],[Agreed Amount Total]:[Additional Expenses]])</f>
        <v>1800</v>
      </c>
      <c r="U35" s="40">
        <f>InvoiceTable[[#This Row],[Net Amount]]+InvoiceTable[[#This Row],[VAT to Pay]]</f>
        <v>1800</v>
      </c>
      <c r="V35" s="60">
        <v>15069</v>
      </c>
      <c r="W35" s="42">
        <v>44243</v>
      </c>
      <c r="X35" s="43">
        <f>IF(InvoiceTable[[#This Row],[Invoice Date]]="","",WORKDAY(InvoiceTable[[#This Row],[Invoice Date]],14))</f>
        <v>44263</v>
      </c>
      <c r="Y35" s="23" t="s">
        <v>141</v>
      </c>
      <c r="Z35" s="71">
        <v>44307</v>
      </c>
      <c r="AA35" s="40">
        <f>InvoiceTable[[#This Row],[Net Amount]]*InvoiceTable[[#This Row],[VAT]]</f>
        <v>0</v>
      </c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2:49" x14ac:dyDescent="0.25">
      <c r="B36" s="46" t="s">
        <v>123</v>
      </c>
      <c r="C36" s="45" t="s">
        <v>254</v>
      </c>
      <c r="D36" s="48" t="s">
        <v>90</v>
      </c>
      <c r="E36" s="48" t="s">
        <v>91</v>
      </c>
      <c r="F36" s="48" t="s">
        <v>272</v>
      </c>
      <c r="G36" s="48" t="s">
        <v>119</v>
      </c>
      <c r="H36" s="66">
        <v>0.2</v>
      </c>
      <c r="I36" s="23" t="s">
        <v>294</v>
      </c>
      <c r="J36" s="24">
        <v>44418</v>
      </c>
      <c r="K36" s="25">
        <v>1800</v>
      </c>
      <c r="L36" s="23"/>
      <c r="M36" s="23"/>
      <c r="N36" s="25"/>
      <c r="O36" s="23"/>
      <c r="P36" s="23"/>
      <c r="Q36" s="25"/>
      <c r="R36" s="7">
        <f>InvoiceTable[[#This Row],[Amount Line 1]]+InvoiceTable[[#This Row],[Amount Line 2]]+InvoiceTable[[#This Row],[Amount Line 3]]</f>
        <v>1800</v>
      </c>
      <c r="S36" s="41"/>
      <c r="T36" s="40">
        <f>SUM(InvoiceTable[[#This Row],[Agreed Amount Total]:[Additional Expenses]])</f>
        <v>1800</v>
      </c>
      <c r="U36" s="40">
        <f>InvoiceTable[[#This Row],[Net Amount]]+InvoiceTable[[#This Row],[VAT to Pay]]</f>
        <v>2160</v>
      </c>
      <c r="V36" s="60">
        <v>15070</v>
      </c>
      <c r="W36" s="42">
        <v>44255</v>
      </c>
      <c r="X36" s="43">
        <f>IF(InvoiceTable[[#This Row],[Invoice Date]]="","",WORKDAY(InvoiceTable[[#This Row],[Invoice Date]],14))</f>
        <v>44273</v>
      </c>
      <c r="Y36" s="23" t="s">
        <v>141</v>
      </c>
      <c r="Z36" s="71">
        <v>44308</v>
      </c>
      <c r="AA36" s="40">
        <f>InvoiceTable[[#This Row],[Net Amount]]*InvoiceTable[[#This Row],[VAT]]</f>
        <v>360</v>
      </c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2:49" x14ac:dyDescent="0.25">
      <c r="B37" s="23" t="s">
        <v>66</v>
      </c>
      <c r="C37" s="47" t="s">
        <v>255</v>
      </c>
      <c r="D37" s="51" t="s">
        <v>55</v>
      </c>
      <c r="E37" s="51" t="s">
        <v>56</v>
      </c>
      <c r="F37" s="51" t="s">
        <v>272</v>
      </c>
      <c r="G37" s="51" t="s">
        <v>108</v>
      </c>
      <c r="H37" s="65">
        <v>0.2</v>
      </c>
      <c r="I37" s="23" t="s">
        <v>295</v>
      </c>
      <c r="J37" s="24">
        <v>44442</v>
      </c>
      <c r="K37" s="25">
        <v>5130</v>
      </c>
      <c r="L37" s="23"/>
      <c r="M37" s="23"/>
      <c r="N37" s="25"/>
      <c r="O37" s="23"/>
      <c r="P37" s="23"/>
      <c r="Q37" s="25"/>
      <c r="R37" s="7">
        <f>InvoiceTable[[#This Row],[Amount Line 1]]+InvoiceTable[[#This Row],[Amount Line 2]]+InvoiceTable[[#This Row],[Amount Line 3]]</f>
        <v>5130</v>
      </c>
      <c r="S37" s="41"/>
      <c r="T37" s="40">
        <f>SUM(InvoiceTable[[#This Row],[Agreed Amount Total]:[Additional Expenses]])</f>
        <v>5130</v>
      </c>
      <c r="U37" s="40">
        <f>InvoiceTable[[#This Row],[Net Amount]]+InvoiceTable[[#This Row],[VAT to Pay]]</f>
        <v>6156</v>
      </c>
      <c r="V37" s="60">
        <v>15071</v>
      </c>
      <c r="W37" s="42">
        <v>44248</v>
      </c>
      <c r="X37" s="43">
        <f>IF(InvoiceTable[[#This Row],[Invoice Date]]="","",WORKDAY(InvoiceTable[[#This Row],[Invoice Date]],14))</f>
        <v>44266</v>
      </c>
      <c r="Y37" s="23" t="s">
        <v>141</v>
      </c>
      <c r="Z37" s="71">
        <v>44309</v>
      </c>
      <c r="AA37" s="40">
        <f>InvoiceTable[[#This Row],[Net Amount]]*InvoiceTable[[#This Row],[VAT]]</f>
        <v>1026</v>
      </c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2:49" x14ac:dyDescent="0.25">
      <c r="B38" s="23" t="s">
        <v>47</v>
      </c>
      <c r="C38" s="47" t="s">
        <v>256</v>
      </c>
      <c r="D38" s="51" t="s">
        <v>39</v>
      </c>
      <c r="E38" s="51" t="s">
        <v>41</v>
      </c>
      <c r="F38" s="51" t="s">
        <v>40</v>
      </c>
      <c r="G38" s="51"/>
      <c r="H38" s="65">
        <v>0</v>
      </c>
      <c r="I38" s="23" t="s">
        <v>296</v>
      </c>
      <c r="J38" s="24">
        <v>44447</v>
      </c>
      <c r="K38" s="25">
        <v>1800</v>
      </c>
      <c r="L38" s="23"/>
      <c r="M38" s="23"/>
      <c r="N38" s="25"/>
      <c r="O38" s="23"/>
      <c r="P38" s="23"/>
      <c r="Q38" s="25"/>
      <c r="R38" s="7">
        <f>InvoiceTable[[#This Row],[Amount Line 1]]+InvoiceTable[[#This Row],[Amount Line 2]]+InvoiceTable[[#This Row],[Amount Line 3]]</f>
        <v>1800</v>
      </c>
      <c r="S38" s="41"/>
      <c r="T38" s="40">
        <f>SUM(InvoiceTable[[#This Row],[Agreed Amount Total]:[Additional Expenses]])</f>
        <v>1800</v>
      </c>
      <c r="U38" s="40">
        <f>InvoiceTable[[#This Row],[Net Amount]]+InvoiceTable[[#This Row],[VAT to Pay]]</f>
        <v>1800</v>
      </c>
      <c r="V38" s="60">
        <v>15073</v>
      </c>
      <c r="W38" s="42">
        <v>44257</v>
      </c>
      <c r="X38" s="43">
        <f>IF(InvoiceTable[[#This Row],[Invoice Date]]="","",WORKDAY(InvoiceTable[[#This Row],[Invoice Date]],14))</f>
        <v>44277</v>
      </c>
      <c r="Y38" s="23" t="s">
        <v>141</v>
      </c>
      <c r="Z38" s="71">
        <v>44310</v>
      </c>
      <c r="AA38" s="40">
        <f>InvoiceTable[[#This Row],[Net Amount]]*InvoiceTable[[#This Row],[VAT]]</f>
        <v>0</v>
      </c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2:49" x14ac:dyDescent="0.25">
      <c r="B39" s="23" t="s">
        <v>248</v>
      </c>
      <c r="C39" s="50" t="s">
        <v>257</v>
      </c>
      <c r="D39" s="51" t="s">
        <v>73</v>
      </c>
      <c r="E39" s="51" t="s">
        <v>74</v>
      </c>
      <c r="F39" s="51" t="s">
        <v>70</v>
      </c>
      <c r="G39" s="51" t="s">
        <v>105</v>
      </c>
      <c r="H39" s="65">
        <v>0.19</v>
      </c>
      <c r="I39" s="23" t="s">
        <v>297</v>
      </c>
      <c r="J39" s="24">
        <v>44488</v>
      </c>
      <c r="K39" s="25">
        <v>6750</v>
      </c>
      <c r="L39" s="23"/>
      <c r="M39" s="23"/>
      <c r="N39" s="25"/>
      <c r="O39" s="23"/>
      <c r="P39" s="23"/>
      <c r="Q39" s="25"/>
      <c r="R39" s="7">
        <f>InvoiceTable[[#This Row],[Amount Line 1]]+InvoiceTable[[#This Row],[Amount Line 2]]+InvoiceTable[[#This Row],[Amount Line 3]]</f>
        <v>6750</v>
      </c>
      <c r="S39" s="41"/>
      <c r="T39" s="40">
        <f>SUM(InvoiceTable[[#This Row],[Agreed Amount Total]:[Additional Expenses]])</f>
        <v>6750</v>
      </c>
      <c r="U39" s="40">
        <f>InvoiceTable[[#This Row],[Net Amount]]+InvoiceTable[[#This Row],[VAT to Pay]]</f>
        <v>8032.5</v>
      </c>
      <c r="V39" s="60">
        <v>15074</v>
      </c>
      <c r="W39" s="42">
        <v>44257</v>
      </c>
      <c r="X39" s="43">
        <f>IF(InvoiceTable[[#This Row],[Invoice Date]]="","",WORKDAY(InvoiceTable[[#This Row],[Invoice Date]],14))</f>
        <v>44277</v>
      </c>
      <c r="Y39" s="23" t="s">
        <v>141</v>
      </c>
      <c r="Z39" s="71">
        <v>44311</v>
      </c>
      <c r="AA39" s="40">
        <f>InvoiceTable[[#This Row],[Net Amount]]*InvoiceTable[[#This Row],[VAT]]</f>
        <v>1282.5</v>
      </c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2:49" x14ac:dyDescent="0.25">
      <c r="B40" s="23" t="s">
        <v>65</v>
      </c>
      <c r="C40" s="23" t="s">
        <v>258</v>
      </c>
      <c r="D40" s="51" t="s">
        <v>60</v>
      </c>
      <c r="E40" s="51" t="s">
        <v>61</v>
      </c>
      <c r="F40" s="51" t="s">
        <v>272</v>
      </c>
      <c r="G40" s="51" t="s">
        <v>107</v>
      </c>
      <c r="H40" s="65">
        <v>0.2</v>
      </c>
      <c r="I40" s="23" t="s">
        <v>298</v>
      </c>
      <c r="J40" s="24">
        <v>44488</v>
      </c>
      <c r="K40" s="25">
        <v>5562.5</v>
      </c>
      <c r="L40" s="23"/>
      <c r="M40" s="23"/>
      <c r="N40" s="25"/>
      <c r="O40" s="23"/>
      <c r="P40" s="23"/>
      <c r="Q40" s="25"/>
      <c r="R40" s="7">
        <f>InvoiceTable[[#This Row],[Amount Line 1]]+InvoiceTable[[#This Row],[Amount Line 2]]+InvoiceTable[[#This Row],[Amount Line 3]]</f>
        <v>5562.5</v>
      </c>
      <c r="S40" s="41"/>
      <c r="T40" s="40">
        <f>SUM(InvoiceTable[[#This Row],[Agreed Amount Total]:[Additional Expenses]])</f>
        <v>5562.5</v>
      </c>
      <c r="U40" s="40">
        <f>InvoiceTable[[#This Row],[Net Amount]]+InvoiceTable[[#This Row],[VAT to Pay]]</f>
        <v>6675</v>
      </c>
      <c r="V40" s="60">
        <v>15075</v>
      </c>
      <c r="W40" s="42">
        <v>44527</v>
      </c>
      <c r="X40" s="43">
        <f>IF(InvoiceTable[[#This Row],[Invoice Date]]="","",WORKDAY(InvoiceTable[[#This Row],[Invoice Date]],14))</f>
        <v>44546</v>
      </c>
      <c r="Y40" s="23" t="s">
        <v>227</v>
      </c>
      <c r="Z40" s="44"/>
      <c r="AA40" s="40">
        <f>InvoiceTable[[#This Row],[Net Amount]]*InvoiceTable[[#This Row],[VAT]]</f>
        <v>1112.5</v>
      </c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2:49" x14ac:dyDescent="0.25">
      <c r="B41" s="23" t="s">
        <v>44</v>
      </c>
      <c r="C41" s="23" t="s">
        <v>259</v>
      </c>
      <c r="D41" s="51" t="s">
        <v>25</v>
      </c>
      <c r="E41" s="51" t="s">
        <v>26</v>
      </c>
      <c r="F41" s="51" t="s">
        <v>27</v>
      </c>
      <c r="G41" s="51" t="s">
        <v>190</v>
      </c>
      <c r="H41" s="65">
        <v>0</v>
      </c>
      <c r="I41" s="23" t="s">
        <v>299</v>
      </c>
      <c r="J41" s="24">
        <v>44495</v>
      </c>
      <c r="K41" s="25">
        <v>4800</v>
      </c>
      <c r="L41" s="23"/>
      <c r="M41" s="23"/>
      <c r="N41" s="25"/>
      <c r="O41" s="23"/>
      <c r="P41" s="23"/>
      <c r="Q41" s="25"/>
      <c r="R41" s="7">
        <f>InvoiceTable[[#This Row],[Amount Line 1]]+InvoiceTable[[#This Row],[Amount Line 2]]+InvoiceTable[[#This Row],[Amount Line 3]]</f>
        <v>4800</v>
      </c>
      <c r="S41" s="41"/>
      <c r="T41" s="40">
        <f>SUM(InvoiceTable[[#This Row],[Agreed Amount Total]:[Additional Expenses]])</f>
        <v>4800</v>
      </c>
      <c r="U41" s="40">
        <f>InvoiceTable[[#This Row],[Net Amount]]+InvoiceTable[[#This Row],[VAT to Pay]]</f>
        <v>4800</v>
      </c>
      <c r="V41" s="60">
        <v>15076</v>
      </c>
      <c r="W41" s="42">
        <v>44527</v>
      </c>
      <c r="X41" s="43">
        <f>IF(InvoiceTable[[#This Row],[Invoice Date]]="","",WORKDAY(InvoiceTable[[#This Row],[Invoice Date]],14))</f>
        <v>44546</v>
      </c>
      <c r="Y41" s="23"/>
      <c r="Z41" s="44"/>
      <c r="AA41" s="40">
        <f>InvoiceTable[[#This Row],[Net Amount]]*InvoiceTable[[#This Row],[VAT]]</f>
        <v>0</v>
      </c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2:49" x14ac:dyDescent="0.25">
      <c r="B42" s="23"/>
      <c r="C42" s="23"/>
      <c r="D42" s="23"/>
      <c r="E42" s="23"/>
      <c r="F42" s="23"/>
      <c r="G42" s="23"/>
      <c r="H42" s="57"/>
      <c r="I42" s="23"/>
      <c r="J42" s="23"/>
      <c r="K42" s="25"/>
      <c r="L42" s="23"/>
      <c r="M42" s="23"/>
      <c r="N42" s="25"/>
      <c r="O42" s="23"/>
      <c r="P42" s="23"/>
      <c r="Q42" s="25"/>
      <c r="R42" s="23"/>
      <c r="S42" s="23"/>
      <c r="T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2:49" x14ac:dyDescent="0.25">
      <c r="B43" s="23"/>
      <c r="C43" s="23"/>
      <c r="D43" s="23"/>
      <c r="E43" s="23"/>
      <c r="F43" s="23"/>
      <c r="G43" s="23"/>
      <c r="H43" s="57"/>
      <c r="I43" s="23"/>
      <c r="J43" s="23"/>
      <c r="K43" s="25"/>
      <c r="L43" s="23"/>
      <c r="M43" s="23"/>
      <c r="N43" s="25"/>
      <c r="O43" s="23"/>
      <c r="P43" s="23"/>
      <c r="Q43" s="25"/>
      <c r="R43" s="23"/>
      <c r="S43" s="23"/>
      <c r="T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2:49" x14ac:dyDescent="0.25">
      <c r="B44" s="23"/>
      <c r="C44" s="23"/>
      <c r="D44" s="23"/>
      <c r="E44" s="23"/>
      <c r="F44" s="23"/>
      <c r="G44" s="23"/>
      <c r="H44" s="57"/>
      <c r="I44" s="23"/>
      <c r="J44" s="23"/>
      <c r="K44" s="25"/>
      <c r="L44" s="23"/>
      <c r="M44" s="23"/>
      <c r="N44" s="25"/>
      <c r="O44" s="23"/>
      <c r="P44" s="23"/>
      <c r="Q44" s="25"/>
      <c r="R44" s="23"/>
      <c r="S44" s="23"/>
      <c r="T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2:49" x14ac:dyDescent="0.25">
      <c r="B45" s="23"/>
      <c r="C45" s="23"/>
      <c r="D45" s="23"/>
      <c r="E45" s="23"/>
      <c r="F45" s="23"/>
      <c r="G45" s="23"/>
      <c r="H45" s="57"/>
      <c r="I45" s="23"/>
      <c r="J45" s="23"/>
      <c r="K45" s="25"/>
      <c r="L45" s="23"/>
      <c r="M45" s="23"/>
      <c r="N45" s="25"/>
      <c r="O45" s="23"/>
      <c r="P45" s="23"/>
      <c r="Q45" s="25"/>
      <c r="R45" s="23"/>
      <c r="S45" s="23"/>
      <c r="T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2:49" x14ac:dyDescent="0.25">
      <c r="B46" s="23"/>
      <c r="C46" s="23"/>
      <c r="D46" s="23"/>
      <c r="E46" s="23"/>
      <c r="F46" s="23"/>
      <c r="G46" s="23"/>
      <c r="H46" s="57"/>
      <c r="I46" s="23"/>
      <c r="J46" s="23"/>
      <c r="K46" s="25"/>
      <c r="L46" s="23"/>
      <c r="M46" s="23"/>
      <c r="N46" s="25"/>
      <c r="O46" s="23"/>
      <c r="P46" s="23"/>
      <c r="Q46" s="25"/>
      <c r="R46" s="23"/>
      <c r="S46" s="23"/>
      <c r="T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2:49" x14ac:dyDescent="0.25">
      <c r="B47" s="23"/>
      <c r="C47" s="23"/>
      <c r="D47" s="23"/>
      <c r="E47" s="23"/>
      <c r="F47" s="23"/>
      <c r="G47" s="23"/>
      <c r="H47" s="57"/>
      <c r="I47" s="23"/>
      <c r="J47" s="23"/>
      <c r="K47" s="25"/>
      <c r="L47" s="23"/>
      <c r="M47" s="23"/>
      <c r="N47" s="25"/>
      <c r="O47" s="23"/>
      <c r="P47" s="23"/>
      <c r="Q47" s="25"/>
      <c r="R47" s="23"/>
      <c r="S47" s="23"/>
      <c r="T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2:49" x14ac:dyDescent="0.25">
      <c r="B48" s="23"/>
      <c r="C48" s="23"/>
      <c r="D48" s="23"/>
      <c r="E48" s="23"/>
      <c r="F48" s="23"/>
      <c r="G48" s="23"/>
      <c r="H48" s="57"/>
      <c r="I48" s="23"/>
      <c r="J48" s="23"/>
      <c r="K48" s="25"/>
      <c r="L48" s="23"/>
      <c r="M48" s="23"/>
      <c r="N48" s="25"/>
      <c r="O48" s="23"/>
      <c r="P48" s="23"/>
      <c r="Q48" s="25"/>
      <c r="R48" s="23"/>
      <c r="S48" s="23"/>
      <c r="T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2:49" x14ac:dyDescent="0.25">
      <c r="B49" s="23"/>
      <c r="C49" s="23"/>
      <c r="D49" s="23"/>
      <c r="E49" s="23"/>
      <c r="F49" s="23"/>
      <c r="G49" s="23"/>
      <c r="H49" s="57"/>
      <c r="I49" s="23"/>
      <c r="J49" s="23"/>
      <c r="K49" s="25"/>
      <c r="L49" s="23"/>
      <c r="M49" s="23"/>
      <c r="N49" s="25"/>
      <c r="O49" s="23"/>
      <c r="P49" s="23"/>
      <c r="Q49" s="25"/>
      <c r="R49" s="23"/>
      <c r="S49" s="23"/>
      <c r="T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2:49" x14ac:dyDescent="0.25">
      <c r="B50" s="23"/>
      <c r="C50" s="23"/>
      <c r="D50" s="23"/>
      <c r="E50" s="23"/>
      <c r="F50" s="23"/>
      <c r="G50" s="23"/>
      <c r="H50" s="57"/>
      <c r="I50" s="23"/>
      <c r="J50" s="23"/>
      <c r="K50" s="25"/>
      <c r="L50" s="23"/>
      <c r="M50" s="23"/>
      <c r="N50" s="25"/>
      <c r="O50" s="23"/>
      <c r="P50" s="23"/>
      <c r="Q50" s="25"/>
      <c r="R50" s="23"/>
      <c r="S50" s="23"/>
      <c r="T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2:49" x14ac:dyDescent="0.25">
      <c r="B51" s="23"/>
      <c r="C51" s="23"/>
      <c r="D51" s="23"/>
      <c r="E51" s="23"/>
      <c r="F51" s="23"/>
      <c r="G51" s="23"/>
      <c r="H51" s="57"/>
      <c r="I51" s="23"/>
      <c r="J51" s="23"/>
      <c r="K51" s="25"/>
      <c r="L51" s="23"/>
      <c r="M51" s="23"/>
      <c r="N51" s="25"/>
      <c r="O51" s="23"/>
      <c r="P51" s="23"/>
      <c r="Q51" s="25"/>
      <c r="R51" s="23"/>
      <c r="S51" s="23"/>
      <c r="T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2:49" x14ac:dyDescent="0.25">
      <c r="B52" s="23"/>
      <c r="C52" s="23"/>
      <c r="D52" s="23"/>
      <c r="E52" s="23"/>
      <c r="F52" s="23"/>
      <c r="G52" s="23"/>
      <c r="H52" s="57"/>
      <c r="I52" s="23"/>
      <c r="J52" s="23"/>
      <c r="K52" s="25"/>
      <c r="L52" s="23"/>
      <c r="M52" s="23"/>
      <c r="N52" s="25"/>
      <c r="O52" s="23"/>
      <c r="P52" s="23"/>
      <c r="Q52" s="25"/>
      <c r="R52" s="23"/>
      <c r="S52" s="23"/>
      <c r="T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2:49" x14ac:dyDescent="0.25">
      <c r="B53" s="23"/>
      <c r="C53" s="23"/>
      <c r="D53" s="23"/>
      <c r="E53" s="23"/>
      <c r="F53" s="23"/>
      <c r="G53" s="23"/>
      <c r="H53" s="57"/>
      <c r="I53" s="23"/>
      <c r="J53" s="23"/>
      <c r="K53" s="25"/>
      <c r="L53" s="23"/>
      <c r="M53" s="23"/>
      <c r="N53" s="25"/>
      <c r="O53" s="23"/>
      <c r="P53" s="23"/>
      <c r="Q53" s="25"/>
      <c r="R53" s="23"/>
      <c r="S53" s="23"/>
      <c r="T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2:49" x14ac:dyDescent="0.25">
      <c r="B54" s="23"/>
      <c r="C54" s="23"/>
      <c r="D54" s="23"/>
      <c r="E54" s="23"/>
      <c r="F54" s="23"/>
      <c r="G54" s="23"/>
      <c r="H54" s="57"/>
      <c r="I54" s="23"/>
      <c r="J54" s="23"/>
      <c r="K54" s="25"/>
      <c r="L54" s="23"/>
      <c r="M54" s="23"/>
      <c r="N54" s="25"/>
      <c r="O54" s="23"/>
      <c r="P54" s="23"/>
      <c r="Q54" s="25"/>
      <c r="R54" s="23"/>
      <c r="S54" s="23"/>
      <c r="T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2:49" x14ac:dyDescent="0.25">
      <c r="B55" s="23"/>
      <c r="C55" s="23"/>
      <c r="D55" s="23"/>
      <c r="E55" s="23"/>
      <c r="F55" s="23"/>
      <c r="G55" s="23"/>
      <c r="H55" s="57"/>
      <c r="I55" s="23"/>
      <c r="J55" s="23"/>
      <c r="K55" s="25"/>
      <c r="L55" s="23"/>
      <c r="M55" s="23"/>
      <c r="N55" s="25"/>
      <c r="O55" s="23"/>
      <c r="P55" s="23"/>
      <c r="Q55" s="25"/>
      <c r="R55" s="23"/>
      <c r="S55" s="23"/>
      <c r="T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2:49" x14ac:dyDescent="0.25">
      <c r="B56" s="23"/>
      <c r="C56" s="23"/>
      <c r="D56" s="23"/>
      <c r="E56" s="23"/>
      <c r="F56" s="23"/>
      <c r="G56" s="23"/>
      <c r="H56" s="57"/>
      <c r="I56" s="23"/>
      <c r="J56" s="23"/>
      <c r="K56" s="25"/>
      <c r="L56" s="23"/>
      <c r="M56" s="23"/>
      <c r="N56" s="25"/>
      <c r="O56" s="23"/>
      <c r="P56" s="23"/>
      <c r="Q56" s="25"/>
      <c r="R56" s="23"/>
      <c r="S56" s="23"/>
      <c r="T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2:49" x14ac:dyDescent="0.25">
      <c r="B57" s="23"/>
      <c r="C57" s="23"/>
      <c r="D57" s="23"/>
      <c r="E57" s="23"/>
      <c r="F57" s="23"/>
      <c r="G57" s="23"/>
      <c r="H57" s="57"/>
      <c r="I57" s="23"/>
      <c r="J57" s="23"/>
      <c r="K57" s="25"/>
      <c r="L57" s="23"/>
      <c r="M57" s="23"/>
      <c r="N57" s="25"/>
      <c r="O57" s="23"/>
      <c r="P57" s="23"/>
      <c r="Q57" s="25"/>
      <c r="R57" s="23"/>
      <c r="S57" s="23"/>
      <c r="T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2:49" x14ac:dyDescent="0.25">
      <c r="B58" s="23"/>
      <c r="C58" s="23"/>
      <c r="D58" s="23"/>
      <c r="E58" s="23"/>
      <c r="F58" s="23"/>
      <c r="G58" s="23"/>
      <c r="H58" s="57"/>
      <c r="I58" s="23"/>
      <c r="J58" s="23"/>
      <c r="K58" s="25"/>
      <c r="L58" s="23"/>
      <c r="M58" s="23"/>
      <c r="N58" s="25"/>
      <c r="O58" s="23"/>
      <c r="P58" s="23"/>
      <c r="Q58" s="25"/>
      <c r="R58" s="23"/>
      <c r="S58" s="23"/>
      <c r="T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2:49" x14ac:dyDescent="0.25">
      <c r="B59" s="23"/>
      <c r="C59" s="23"/>
      <c r="D59" s="23"/>
      <c r="E59" s="23"/>
      <c r="F59" s="23"/>
      <c r="G59" s="23"/>
      <c r="H59" s="57"/>
      <c r="I59" s="23"/>
      <c r="J59" s="23"/>
      <c r="K59" s="25"/>
      <c r="L59" s="23"/>
      <c r="M59" s="23"/>
      <c r="N59" s="25"/>
      <c r="O59" s="23"/>
      <c r="P59" s="23"/>
      <c r="Q59" s="25"/>
      <c r="R59" s="23"/>
      <c r="S59" s="23"/>
      <c r="T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2:49" x14ac:dyDescent="0.25">
      <c r="B60" s="23"/>
      <c r="C60" s="23"/>
      <c r="D60" s="23"/>
      <c r="E60" s="23"/>
      <c r="F60" s="23"/>
      <c r="G60" s="23"/>
      <c r="H60" s="57"/>
      <c r="I60" s="23"/>
      <c r="J60" s="23"/>
      <c r="K60" s="25"/>
      <c r="L60" s="23"/>
      <c r="M60" s="23"/>
      <c r="N60" s="25"/>
      <c r="O60" s="23"/>
      <c r="P60" s="23"/>
      <c r="Q60" s="25"/>
      <c r="R60" s="23"/>
      <c r="S60" s="23"/>
      <c r="T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2:49" x14ac:dyDescent="0.25">
      <c r="B61" s="23"/>
      <c r="C61" s="23"/>
      <c r="D61" s="23"/>
      <c r="E61" s="23"/>
      <c r="F61" s="23"/>
      <c r="G61" s="23"/>
      <c r="H61" s="57"/>
      <c r="I61" s="23"/>
      <c r="J61" s="23"/>
      <c r="K61" s="25"/>
      <c r="L61" s="23"/>
      <c r="M61" s="23"/>
      <c r="N61" s="25"/>
      <c r="O61" s="23"/>
      <c r="P61" s="23"/>
      <c r="Q61" s="25"/>
      <c r="R61" s="23"/>
      <c r="S61" s="23"/>
      <c r="T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2:49" x14ac:dyDescent="0.25">
      <c r="B62" s="23"/>
      <c r="C62" s="23"/>
      <c r="D62" s="23"/>
      <c r="E62" s="23"/>
      <c r="F62" s="23"/>
      <c r="G62" s="23"/>
      <c r="H62" s="57"/>
      <c r="I62" s="23"/>
      <c r="J62" s="23"/>
      <c r="K62" s="25"/>
      <c r="L62" s="23"/>
      <c r="M62" s="23"/>
      <c r="N62" s="25"/>
      <c r="O62" s="23"/>
      <c r="P62" s="23"/>
      <c r="Q62" s="25"/>
      <c r="R62" s="23"/>
      <c r="S62" s="23"/>
      <c r="T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2:49" x14ac:dyDescent="0.25">
      <c r="B63" s="23"/>
      <c r="C63" s="23"/>
      <c r="D63" s="23"/>
      <c r="E63" s="23"/>
      <c r="F63" s="23"/>
      <c r="G63" s="23"/>
      <c r="H63" s="57"/>
      <c r="I63" s="23"/>
      <c r="J63" s="23"/>
      <c r="K63" s="25"/>
      <c r="L63" s="23"/>
      <c r="M63" s="23"/>
      <c r="N63" s="25"/>
      <c r="O63" s="23"/>
      <c r="P63" s="23"/>
      <c r="Q63" s="25"/>
      <c r="R63" s="23"/>
      <c r="S63" s="23"/>
      <c r="T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2:49" x14ac:dyDescent="0.25">
      <c r="B64" s="23"/>
      <c r="C64" s="23"/>
      <c r="D64" s="23"/>
      <c r="E64" s="23"/>
      <c r="F64" s="23"/>
      <c r="G64" s="23"/>
      <c r="H64" s="57"/>
      <c r="I64" s="23"/>
      <c r="J64" s="23"/>
      <c r="K64" s="25"/>
      <c r="L64" s="23"/>
      <c r="M64" s="23"/>
      <c r="N64" s="25"/>
      <c r="O64" s="23"/>
      <c r="P64" s="23"/>
      <c r="Q64" s="25"/>
      <c r="R64" s="23"/>
      <c r="S64" s="23"/>
      <c r="T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2:49" x14ac:dyDescent="0.25">
      <c r="B65" s="23"/>
      <c r="C65" s="23"/>
      <c r="D65" s="23"/>
      <c r="E65" s="23"/>
      <c r="F65" s="23"/>
      <c r="G65" s="23"/>
      <c r="H65" s="57"/>
      <c r="I65" s="23"/>
      <c r="J65" s="23"/>
      <c r="K65" s="25"/>
      <c r="L65" s="23"/>
      <c r="M65" s="23"/>
      <c r="N65" s="25"/>
      <c r="O65" s="23"/>
      <c r="P65" s="23"/>
      <c r="Q65" s="25"/>
      <c r="R65" s="23"/>
      <c r="S65" s="23"/>
      <c r="T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2:49" x14ac:dyDescent="0.25">
      <c r="B66" s="23"/>
      <c r="C66" s="23"/>
      <c r="D66" s="23"/>
      <c r="E66" s="23"/>
      <c r="F66" s="23"/>
      <c r="G66" s="23"/>
      <c r="H66" s="57"/>
      <c r="I66" s="23"/>
      <c r="J66" s="23"/>
      <c r="K66" s="25"/>
      <c r="L66" s="23"/>
      <c r="M66" s="23"/>
      <c r="N66" s="25"/>
      <c r="O66" s="23"/>
      <c r="P66" s="23"/>
      <c r="Q66" s="25"/>
      <c r="R66" s="23"/>
      <c r="S66" s="23"/>
      <c r="T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2:49" x14ac:dyDescent="0.25">
      <c r="B67" s="23"/>
      <c r="C67" s="23"/>
      <c r="D67" s="23"/>
      <c r="E67" s="23"/>
      <c r="F67" s="23"/>
      <c r="G67" s="23"/>
      <c r="H67" s="57"/>
      <c r="I67" s="23"/>
      <c r="J67" s="23"/>
      <c r="K67" s="25"/>
      <c r="L67" s="23"/>
      <c r="M67" s="23"/>
      <c r="N67" s="25"/>
      <c r="O67" s="23"/>
      <c r="P67" s="23"/>
      <c r="Q67" s="25"/>
      <c r="R67" s="23"/>
      <c r="S67" s="23"/>
      <c r="T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2:49" x14ac:dyDescent="0.25">
      <c r="B68" s="23"/>
      <c r="C68" s="23"/>
      <c r="D68" s="23"/>
      <c r="E68" s="23"/>
      <c r="F68" s="23"/>
      <c r="G68" s="23"/>
      <c r="H68" s="57"/>
      <c r="I68" s="23"/>
      <c r="J68" s="23"/>
      <c r="K68" s="25"/>
      <c r="L68" s="23"/>
      <c r="M68" s="23"/>
      <c r="N68" s="25"/>
      <c r="O68" s="23"/>
      <c r="P68" s="23"/>
      <c r="Q68" s="25"/>
      <c r="R68" s="23"/>
      <c r="S68" s="23"/>
      <c r="T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2:49" x14ac:dyDescent="0.25">
      <c r="B69" s="23"/>
      <c r="C69" s="23"/>
      <c r="D69" s="23"/>
      <c r="E69" s="23"/>
      <c r="F69" s="23"/>
      <c r="G69" s="23"/>
      <c r="H69" s="57"/>
      <c r="I69" s="23"/>
      <c r="J69" s="23"/>
      <c r="K69" s="25"/>
      <c r="L69" s="23"/>
      <c r="M69" s="23"/>
      <c r="N69" s="25"/>
      <c r="O69" s="23"/>
      <c r="P69" s="23"/>
      <c r="Q69" s="25"/>
      <c r="R69" s="23"/>
      <c r="S69" s="23"/>
      <c r="T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2:49" x14ac:dyDescent="0.25">
      <c r="B70" s="23"/>
      <c r="C70" s="23"/>
      <c r="D70" s="23"/>
      <c r="E70" s="23"/>
      <c r="F70" s="23"/>
      <c r="G70" s="23"/>
      <c r="H70" s="57"/>
      <c r="I70" s="23"/>
      <c r="J70" s="23"/>
      <c r="K70" s="25"/>
      <c r="L70" s="23"/>
      <c r="M70" s="23"/>
      <c r="N70" s="25"/>
      <c r="O70" s="23"/>
      <c r="P70" s="23"/>
      <c r="Q70" s="25"/>
      <c r="R70" s="23"/>
      <c r="S70" s="23"/>
      <c r="T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2:49" x14ac:dyDescent="0.25">
      <c r="B71" s="23"/>
      <c r="C71" s="23"/>
      <c r="D71" s="23"/>
      <c r="E71" s="23"/>
      <c r="F71" s="23"/>
      <c r="G71" s="23"/>
      <c r="H71" s="57"/>
      <c r="I71" s="23"/>
      <c r="J71" s="23"/>
      <c r="K71" s="25"/>
      <c r="L71" s="23"/>
      <c r="M71" s="23"/>
      <c r="N71" s="25"/>
      <c r="O71" s="23"/>
      <c r="P71" s="23"/>
      <c r="Q71" s="25"/>
      <c r="R71" s="23"/>
      <c r="S71" s="23"/>
      <c r="T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2:49" x14ac:dyDescent="0.25">
      <c r="B72" s="23"/>
      <c r="C72" s="23"/>
      <c r="D72" s="23"/>
      <c r="E72" s="23"/>
      <c r="F72" s="23"/>
      <c r="G72" s="23"/>
      <c r="H72" s="57"/>
      <c r="I72" s="23"/>
      <c r="J72" s="23"/>
      <c r="K72" s="25"/>
      <c r="L72" s="23"/>
      <c r="M72" s="23"/>
      <c r="N72" s="25"/>
      <c r="O72" s="23"/>
      <c r="P72" s="23"/>
      <c r="Q72" s="25"/>
      <c r="R72" s="23"/>
      <c r="S72" s="23"/>
      <c r="T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2:49" x14ac:dyDescent="0.25">
      <c r="B73" s="23"/>
      <c r="C73" s="23"/>
      <c r="D73" s="23"/>
      <c r="E73" s="23"/>
      <c r="F73" s="23"/>
      <c r="G73" s="23"/>
      <c r="H73" s="57"/>
      <c r="I73" s="23"/>
      <c r="J73" s="23"/>
      <c r="K73" s="25"/>
      <c r="L73" s="23"/>
      <c r="M73" s="23"/>
      <c r="N73" s="25"/>
      <c r="O73" s="23"/>
      <c r="P73" s="23"/>
      <c r="Q73" s="25"/>
      <c r="R73" s="23"/>
      <c r="S73" s="23"/>
      <c r="T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2:49" x14ac:dyDescent="0.25">
      <c r="B74" s="23"/>
      <c r="C74" s="23"/>
      <c r="D74" s="23"/>
      <c r="E74" s="23"/>
      <c r="F74" s="23"/>
      <c r="G74" s="23"/>
      <c r="H74" s="57"/>
      <c r="I74" s="23"/>
      <c r="J74" s="23"/>
      <c r="K74" s="25"/>
      <c r="L74" s="23"/>
      <c r="M74" s="23"/>
      <c r="N74" s="25"/>
      <c r="O74" s="23"/>
      <c r="P74" s="23"/>
      <c r="Q74" s="25"/>
      <c r="R74" s="23"/>
      <c r="S74" s="23"/>
      <c r="T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2:49" x14ac:dyDescent="0.25">
      <c r="B75" s="23"/>
      <c r="C75" s="23"/>
      <c r="D75" s="23"/>
      <c r="E75" s="23"/>
      <c r="F75" s="23"/>
      <c r="G75" s="23"/>
      <c r="H75" s="57"/>
      <c r="I75" s="23"/>
      <c r="J75" s="23"/>
      <c r="K75" s="25"/>
      <c r="L75" s="23"/>
      <c r="M75" s="23"/>
      <c r="N75" s="25"/>
      <c r="O75" s="23"/>
      <c r="P75" s="23"/>
      <c r="Q75" s="25"/>
      <c r="R75" s="23"/>
      <c r="S75" s="23"/>
      <c r="T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2:49" x14ac:dyDescent="0.25">
      <c r="B76" s="23"/>
      <c r="C76" s="23"/>
      <c r="D76" s="23"/>
      <c r="E76" s="23"/>
      <c r="F76" s="23"/>
      <c r="G76" s="23"/>
      <c r="H76" s="57"/>
      <c r="I76" s="23"/>
      <c r="J76" s="23"/>
      <c r="K76" s="25"/>
      <c r="L76" s="23"/>
      <c r="M76" s="23"/>
      <c r="N76" s="25"/>
      <c r="O76" s="23"/>
      <c r="P76" s="23"/>
      <c r="Q76" s="25"/>
      <c r="R76" s="23"/>
      <c r="S76" s="23"/>
      <c r="T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2:49" x14ac:dyDescent="0.25">
      <c r="B77" s="23"/>
      <c r="C77" s="23"/>
      <c r="D77" s="23"/>
      <c r="E77" s="23"/>
      <c r="F77" s="23"/>
      <c r="G77" s="23"/>
      <c r="H77" s="57"/>
      <c r="I77" s="23"/>
      <c r="J77" s="23"/>
      <c r="K77" s="25"/>
      <c r="L77" s="23"/>
      <c r="M77" s="23"/>
      <c r="N77" s="25"/>
      <c r="O77" s="23"/>
      <c r="P77" s="23"/>
      <c r="Q77" s="25"/>
      <c r="R77" s="23"/>
      <c r="S77" s="23"/>
      <c r="T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  <row r="78" spans="2:49" x14ac:dyDescent="0.25">
      <c r="B78" s="23"/>
      <c r="C78" s="23"/>
      <c r="D78" s="23"/>
      <c r="E78" s="23"/>
      <c r="F78" s="23"/>
      <c r="G78" s="23"/>
      <c r="H78" s="57"/>
      <c r="I78" s="23"/>
      <c r="J78" s="23"/>
      <c r="K78" s="25"/>
      <c r="L78" s="23"/>
      <c r="M78" s="23"/>
      <c r="N78" s="25"/>
      <c r="O78" s="23"/>
      <c r="P78" s="23"/>
      <c r="Q78" s="25"/>
      <c r="R78" s="23"/>
      <c r="S78" s="23"/>
      <c r="T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</row>
    <row r="79" spans="2:49" x14ac:dyDescent="0.25">
      <c r="B79" s="23"/>
      <c r="C79" s="23"/>
      <c r="D79" s="23"/>
      <c r="E79" s="23"/>
      <c r="F79" s="23"/>
      <c r="G79" s="23"/>
      <c r="H79" s="57"/>
      <c r="I79" s="23"/>
      <c r="J79" s="23"/>
      <c r="K79" s="25"/>
      <c r="L79" s="23"/>
      <c r="M79" s="23"/>
      <c r="N79" s="25"/>
      <c r="O79" s="23"/>
      <c r="P79" s="23"/>
      <c r="Q79" s="25"/>
      <c r="R79" s="23"/>
      <c r="S79" s="23"/>
      <c r="T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</row>
    <row r="80" spans="2:49" x14ac:dyDescent="0.25">
      <c r="B80" s="23"/>
      <c r="C80" s="23"/>
      <c r="D80" s="23"/>
      <c r="E80" s="23"/>
      <c r="F80" s="23"/>
      <c r="G80" s="23"/>
      <c r="H80" s="57"/>
      <c r="I80" s="23"/>
      <c r="J80" s="23"/>
      <c r="K80" s="25"/>
      <c r="L80" s="23"/>
      <c r="M80" s="23"/>
      <c r="N80" s="25"/>
      <c r="O80" s="23"/>
      <c r="P80" s="23"/>
      <c r="Q80" s="25"/>
      <c r="R80" s="23"/>
      <c r="S80" s="23"/>
      <c r="T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</row>
    <row r="81" spans="2:49" x14ac:dyDescent="0.25">
      <c r="B81" s="23"/>
      <c r="C81" s="23"/>
      <c r="D81" s="23"/>
      <c r="E81" s="23"/>
      <c r="F81" s="23"/>
      <c r="G81" s="23"/>
      <c r="H81" s="57"/>
      <c r="I81" s="23"/>
      <c r="J81" s="23"/>
      <c r="K81" s="25"/>
      <c r="L81" s="23"/>
      <c r="M81" s="23"/>
      <c r="N81" s="25"/>
      <c r="O81" s="23"/>
      <c r="P81" s="23"/>
      <c r="Q81" s="25"/>
      <c r="R81" s="23"/>
      <c r="S81" s="23"/>
      <c r="T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</row>
    <row r="82" spans="2:49" x14ac:dyDescent="0.25">
      <c r="B82" s="23"/>
      <c r="C82" s="23"/>
      <c r="D82" s="23"/>
      <c r="E82" s="23"/>
      <c r="F82" s="23"/>
      <c r="G82" s="23"/>
      <c r="H82" s="57"/>
      <c r="I82" s="23"/>
      <c r="J82" s="23"/>
      <c r="K82" s="25"/>
      <c r="L82" s="23"/>
      <c r="M82" s="23"/>
      <c r="N82" s="25"/>
      <c r="O82" s="23"/>
      <c r="P82" s="23"/>
      <c r="Q82" s="25"/>
      <c r="R82" s="23"/>
      <c r="S82" s="23"/>
      <c r="T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</row>
    <row r="83" spans="2:49" x14ac:dyDescent="0.25">
      <c r="B83" s="23"/>
      <c r="C83" s="23"/>
      <c r="D83" s="23"/>
      <c r="E83" s="23"/>
      <c r="F83" s="23"/>
      <c r="G83" s="23"/>
      <c r="H83" s="57"/>
      <c r="I83" s="23"/>
      <c r="J83" s="23"/>
      <c r="K83" s="25"/>
      <c r="L83" s="23"/>
      <c r="M83" s="23"/>
      <c r="N83" s="25"/>
      <c r="O83" s="23"/>
      <c r="P83" s="23"/>
      <c r="Q83" s="25"/>
      <c r="R83" s="23"/>
      <c r="S83" s="23"/>
      <c r="T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</row>
    <row r="84" spans="2:49" x14ac:dyDescent="0.25">
      <c r="B84" s="23"/>
      <c r="C84" s="23"/>
      <c r="D84" s="23"/>
      <c r="E84" s="23"/>
      <c r="F84" s="23"/>
      <c r="G84" s="23"/>
      <c r="H84" s="57"/>
      <c r="I84" s="23"/>
      <c r="J84" s="23"/>
      <c r="K84" s="25"/>
      <c r="L84" s="23"/>
      <c r="M84" s="23"/>
      <c r="N84" s="25"/>
      <c r="O84" s="23"/>
      <c r="P84" s="23"/>
      <c r="Q84" s="25"/>
      <c r="R84" s="23"/>
      <c r="S84" s="23"/>
      <c r="T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</row>
    <row r="85" spans="2:49" x14ac:dyDescent="0.25">
      <c r="B85" s="23"/>
      <c r="C85" s="23"/>
      <c r="D85" s="23"/>
      <c r="E85" s="23"/>
      <c r="F85" s="23"/>
      <c r="G85" s="23"/>
      <c r="H85" s="57"/>
      <c r="I85" s="23"/>
      <c r="J85" s="23"/>
      <c r="K85" s="25"/>
      <c r="L85" s="23"/>
      <c r="M85" s="23"/>
      <c r="N85" s="25"/>
      <c r="O85" s="23"/>
      <c r="P85" s="23"/>
      <c r="Q85" s="25"/>
      <c r="R85" s="23"/>
      <c r="S85" s="23"/>
      <c r="T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</row>
    <row r="86" spans="2:49" x14ac:dyDescent="0.25">
      <c r="B86" s="23"/>
      <c r="C86" s="23"/>
      <c r="D86" s="23"/>
      <c r="E86" s="23"/>
      <c r="F86" s="23"/>
      <c r="G86" s="23"/>
      <c r="H86" s="57"/>
      <c r="I86" s="23"/>
      <c r="J86" s="23"/>
      <c r="K86" s="25"/>
      <c r="L86" s="23"/>
      <c r="M86" s="23"/>
      <c r="N86" s="25"/>
      <c r="O86" s="23"/>
      <c r="P86" s="23"/>
      <c r="Q86" s="25"/>
      <c r="R86" s="23"/>
      <c r="S86" s="23"/>
      <c r="T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</row>
    <row r="87" spans="2:49" x14ac:dyDescent="0.25">
      <c r="B87" s="23"/>
      <c r="C87" s="23"/>
      <c r="D87" s="23"/>
      <c r="E87" s="23"/>
      <c r="F87" s="23"/>
      <c r="G87" s="23"/>
      <c r="H87" s="57"/>
      <c r="I87" s="23"/>
      <c r="J87" s="23"/>
      <c r="K87" s="25"/>
      <c r="L87" s="23"/>
      <c r="M87" s="23"/>
      <c r="N87" s="25"/>
      <c r="O87" s="23"/>
      <c r="P87" s="23"/>
      <c r="Q87" s="25"/>
      <c r="R87" s="23"/>
      <c r="S87" s="23"/>
      <c r="T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</row>
    <row r="88" spans="2:49" x14ac:dyDescent="0.25">
      <c r="B88" s="23"/>
      <c r="C88" s="23"/>
      <c r="D88" s="23"/>
      <c r="E88" s="23"/>
      <c r="F88" s="23"/>
      <c r="G88" s="23"/>
      <c r="H88" s="57"/>
      <c r="I88" s="23"/>
      <c r="J88" s="23"/>
      <c r="K88" s="25"/>
      <c r="L88" s="23"/>
      <c r="M88" s="23"/>
      <c r="N88" s="25"/>
      <c r="O88" s="23"/>
      <c r="P88" s="23"/>
      <c r="Q88" s="25"/>
      <c r="R88" s="23"/>
      <c r="S88" s="23"/>
      <c r="T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</row>
    <row r="89" spans="2:49" x14ac:dyDescent="0.25">
      <c r="B89" s="23"/>
      <c r="C89" s="23"/>
      <c r="D89" s="23"/>
      <c r="E89" s="23"/>
      <c r="F89" s="23"/>
      <c r="G89" s="23"/>
      <c r="H89" s="57"/>
      <c r="I89" s="23"/>
      <c r="J89" s="23"/>
      <c r="K89" s="25"/>
      <c r="L89" s="23"/>
      <c r="M89" s="23"/>
      <c r="N89" s="25"/>
      <c r="O89" s="23"/>
      <c r="P89" s="23"/>
      <c r="Q89" s="25"/>
      <c r="R89" s="23"/>
      <c r="S89" s="23"/>
      <c r="T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</row>
    <row r="90" spans="2:49" x14ac:dyDescent="0.25">
      <c r="B90" s="23"/>
      <c r="C90" s="23"/>
      <c r="D90" s="23"/>
      <c r="E90" s="23"/>
      <c r="F90" s="23"/>
      <c r="G90" s="23"/>
      <c r="H90" s="57"/>
      <c r="I90" s="23"/>
      <c r="J90" s="23"/>
      <c r="K90" s="25"/>
      <c r="L90" s="23"/>
      <c r="M90" s="23"/>
      <c r="N90" s="25"/>
      <c r="O90" s="23"/>
      <c r="P90" s="23"/>
      <c r="Q90" s="25"/>
      <c r="R90" s="23"/>
      <c r="S90" s="23"/>
      <c r="T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</row>
    <row r="91" spans="2:49" x14ac:dyDescent="0.25">
      <c r="B91" s="23"/>
      <c r="C91" s="23"/>
      <c r="D91" s="23"/>
      <c r="E91" s="23"/>
      <c r="F91" s="23"/>
      <c r="G91" s="23"/>
      <c r="H91" s="57"/>
      <c r="I91" s="23"/>
      <c r="J91" s="23"/>
      <c r="K91" s="25"/>
      <c r="L91" s="23"/>
      <c r="M91" s="23"/>
      <c r="N91" s="25"/>
      <c r="O91" s="23"/>
      <c r="P91" s="23"/>
      <c r="Q91" s="25"/>
      <c r="R91" s="23"/>
      <c r="S91" s="23"/>
      <c r="T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</row>
    <row r="92" spans="2:49" x14ac:dyDescent="0.25">
      <c r="B92" s="23"/>
      <c r="C92" s="23"/>
      <c r="D92" s="23"/>
      <c r="E92" s="23"/>
      <c r="F92" s="23"/>
      <c r="G92" s="23"/>
      <c r="H92" s="57"/>
      <c r="I92" s="23"/>
      <c r="J92" s="23"/>
      <c r="K92" s="25"/>
      <c r="L92" s="23"/>
      <c r="M92" s="23"/>
      <c r="N92" s="25"/>
      <c r="O92" s="23"/>
      <c r="P92" s="23"/>
      <c r="Q92" s="25"/>
      <c r="R92" s="23"/>
      <c r="S92" s="23"/>
      <c r="T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</row>
    <row r="93" spans="2:49" x14ac:dyDescent="0.25">
      <c r="B93" s="23"/>
      <c r="C93" s="23"/>
      <c r="D93" s="23"/>
      <c r="E93" s="23"/>
      <c r="F93" s="23"/>
      <c r="G93" s="23"/>
      <c r="H93" s="57"/>
      <c r="I93" s="23"/>
      <c r="J93" s="23"/>
      <c r="K93" s="25"/>
      <c r="L93" s="23"/>
      <c r="M93" s="23"/>
      <c r="N93" s="25"/>
      <c r="O93" s="23"/>
      <c r="P93" s="23"/>
      <c r="Q93" s="25"/>
      <c r="R93" s="23"/>
      <c r="S93" s="23"/>
      <c r="T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</row>
    <row r="94" spans="2:49" x14ac:dyDescent="0.25">
      <c r="B94" s="23"/>
      <c r="C94" s="23"/>
      <c r="D94" s="23"/>
      <c r="E94" s="23"/>
      <c r="F94" s="23"/>
      <c r="G94" s="23"/>
      <c r="H94" s="57"/>
      <c r="I94" s="23"/>
      <c r="J94" s="23"/>
      <c r="K94" s="25"/>
      <c r="L94" s="23"/>
      <c r="M94" s="23"/>
      <c r="N94" s="25"/>
      <c r="O94" s="23"/>
      <c r="P94" s="23"/>
      <c r="Q94" s="25"/>
      <c r="R94" s="23"/>
      <c r="S94" s="23"/>
      <c r="T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</row>
    <row r="95" spans="2:49" x14ac:dyDescent="0.25">
      <c r="B95" s="23"/>
      <c r="C95" s="23"/>
      <c r="D95" s="23"/>
      <c r="E95" s="23"/>
      <c r="F95" s="23"/>
      <c r="G95" s="23"/>
      <c r="H95" s="57"/>
      <c r="I95" s="23"/>
      <c r="J95" s="23"/>
      <c r="K95" s="25"/>
      <c r="L95" s="23"/>
      <c r="M95" s="23"/>
      <c r="N95" s="25"/>
      <c r="O95" s="23"/>
      <c r="P95" s="23"/>
      <c r="Q95" s="25"/>
      <c r="R95" s="23"/>
      <c r="S95" s="23"/>
      <c r="T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</row>
    <row r="96" spans="2:49" x14ac:dyDescent="0.25">
      <c r="B96" s="23"/>
      <c r="C96" s="23"/>
      <c r="D96" s="23"/>
      <c r="E96" s="23"/>
      <c r="F96" s="23"/>
      <c r="G96" s="23"/>
      <c r="H96" s="57"/>
      <c r="I96" s="23"/>
      <c r="J96" s="23"/>
      <c r="K96" s="25"/>
      <c r="L96" s="23"/>
      <c r="M96" s="23"/>
      <c r="N96" s="25"/>
      <c r="O96" s="23"/>
      <c r="P96" s="23"/>
      <c r="Q96" s="25"/>
      <c r="R96" s="23"/>
      <c r="S96" s="23"/>
      <c r="T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</row>
    <row r="97" spans="2:49" x14ac:dyDescent="0.25">
      <c r="B97" s="23"/>
      <c r="C97" s="23"/>
      <c r="D97" s="23"/>
      <c r="E97" s="23"/>
      <c r="F97" s="23"/>
      <c r="G97" s="23"/>
      <c r="H97" s="57"/>
      <c r="I97" s="23"/>
      <c r="J97" s="23"/>
      <c r="K97" s="25"/>
      <c r="L97" s="23"/>
      <c r="M97" s="23"/>
      <c r="N97" s="25"/>
      <c r="O97" s="23"/>
      <c r="P97" s="23"/>
      <c r="Q97" s="25"/>
      <c r="R97" s="23"/>
      <c r="S97" s="23"/>
      <c r="T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</row>
    <row r="98" spans="2:49" x14ac:dyDescent="0.25">
      <c r="B98" s="23"/>
      <c r="C98" s="23"/>
      <c r="D98" s="23"/>
      <c r="E98" s="23"/>
      <c r="F98" s="23"/>
      <c r="G98" s="23"/>
      <c r="H98" s="57"/>
      <c r="I98" s="23"/>
      <c r="J98" s="23"/>
      <c r="K98" s="25"/>
      <c r="L98" s="23"/>
      <c r="M98" s="23"/>
      <c r="N98" s="25"/>
      <c r="O98" s="23"/>
      <c r="P98" s="23"/>
      <c r="Q98" s="25"/>
      <c r="R98" s="23"/>
      <c r="S98" s="23"/>
      <c r="T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</row>
    <row r="99" spans="2:49" x14ac:dyDescent="0.25">
      <c r="B99" s="23"/>
      <c r="C99" s="23"/>
      <c r="D99" s="23"/>
      <c r="E99" s="23"/>
      <c r="F99" s="23"/>
      <c r="G99" s="23"/>
      <c r="H99" s="57"/>
      <c r="I99" s="23"/>
      <c r="J99" s="23"/>
      <c r="K99" s="25"/>
      <c r="L99" s="23"/>
      <c r="M99" s="23"/>
      <c r="N99" s="25"/>
      <c r="O99" s="23"/>
      <c r="P99" s="23"/>
      <c r="Q99" s="25"/>
      <c r="R99" s="23"/>
      <c r="S99" s="23"/>
      <c r="T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</row>
    <row r="100" spans="2:49" x14ac:dyDescent="0.25">
      <c r="B100" s="23"/>
      <c r="C100" s="23"/>
      <c r="D100" s="23"/>
      <c r="E100" s="23"/>
      <c r="F100" s="23"/>
      <c r="G100" s="23"/>
      <c r="H100" s="57"/>
      <c r="I100" s="23"/>
      <c r="J100" s="23"/>
      <c r="K100" s="25"/>
      <c r="L100" s="23"/>
      <c r="M100" s="23"/>
      <c r="N100" s="25"/>
      <c r="O100" s="23"/>
      <c r="P100" s="23"/>
      <c r="Q100" s="25"/>
      <c r="R100" s="23"/>
      <c r="S100" s="23"/>
      <c r="T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</row>
    <row r="101" spans="2:49" x14ac:dyDescent="0.25">
      <c r="B101" s="23"/>
      <c r="C101" s="23"/>
      <c r="D101" s="23"/>
      <c r="E101" s="23"/>
      <c r="F101" s="23"/>
      <c r="G101" s="23"/>
      <c r="H101" s="57"/>
      <c r="I101" s="23"/>
      <c r="J101" s="23"/>
      <c r="K101" s="25"/>
      <c r="L101" s="23"/>
      <c r="M101" s="23"/>
      <c r="N101" s="25"/>
      <c r="O101" s="23"/>
      <c r="P101" s="23"/>
      <c r="Q101" s="25"/>
      <c r="R101" s="23"/>
      <c r="S101" s="23"/>
      <c r="T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</row>
    <row r="102" spans="2:49" x14ac:dyDescent="0.25">
      <c r="B102" s="23"/>
      <c r="C102" s="23"/>
      <c r="D102" s="23"/>
      <c r="E102" s="23"/>
      <c r="F102" s="23"/>
      <c r="G102" s="23"/>
      <c r="H102" s="57"/>
      <c r="I102" s="23"/>
      <c r="J102" s="23"/>
      <c r="K102" s="25"/>
      <c r="L102" s="23"/>
      <c r="M102" s="23"/>
      <c r="N102" s="25"/>
      <c r="O102" s="23"/>
      <c r="P102" s="23"/>
      <c r="Q102" s="25"/>
      <c r="R102" s="23"/>
      <c r="S102" s="23"/>
      <c r="T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</row>
    <row r="103" spans="2:49" x14ac:dyDescent="0.25">
      <c r="B103" s="23"/>
      <c r="C103" s="23"/>
      <c r="D103" s="23"/>
      <c r="E103" s="23"/>
      <c r="F103" s="23"/>
      <c r="G103" s="23"/>
      <c r="H103" s="57"/>
      <c r="I103" s="23"/>
      <c r="J103" s="23"/>
      <c r="K103" s="25"/>
      <c r="L103" s="23"/>
      <c r="M103" s="23"/>
      <c r="N103" s="25"/>
      <c r="O103" s="23"/>
      <c r="P103" s="23"/>
      <c r="Q103" s="25"/>
      <c r="R103" s="23"/>
      <c r="S103" s="23"/>
      <c r="T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</row>
    <row r="104" spans="2:49" x14ac:dyDescent="0.25">
      <c r="B104" s="23"/>
      <c r="C104" s="23"/>
      <c r="D104" s="23"/>
      <c r="E104" s="23"/>
      <c r="F104" s="23"/>
      <c r="G104" s="23"/>
      <c r="H104" s="57"/>
      <c r="I104" s="23"/>
      <c r="J104" s="23"/>
      <c r="K104" s="25"/>
      <c r="L104" s="23"/>
      <c r="M104" s="23"/>
      <c r="N104" s="25"/>
      <c r="O104" s="23"/>
      <c r="P104" s="23"/>
      <c r="Q104" s="25"/>
      <c r="R104" s="23"/>
      <c r="S104" s="23"/>
      <c r="T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</row>
    <row r="105" spans="2:49" x14ac:dyDescent="0.25">
      <c r="B105" s="23"/>
      <c r="C105" s="23"/>
      <c r="D105" s="23"/>
      <c r="E105" s="23"/>
      <c r="F105" s="23"/>
      <c r="G105" s="23"/>
      <c r="H105" s="57"/>
      <c r="I105" s="23"/>
      <c r="J105" s="23"/>
      <c r="K105" s="25"/>
      <c r="L105" s="23"/>
      <c r="M105" s="23"/>
      <c r="N105" s="25"/>
      <c r="O105" s="23"/>
      <c r="P105" s="23"/>
      <c r="Q105" s="25"/>
      <c r="R105" s="23"/>
      <c r="S105" s="23"/>
      <c r="T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</row>
    <row r="106" spans="2:49" x14ac:dyDescent="0.25">
      <c r="B106" s="23"/>
      <c r="C106" s="23"/>
      <c r="D106" s="23"/>
      <c r="E106" s="23"/>
      <c r="F106" s="23"/>
      <c r="G106" s="23"/>
      <c r="H106" s="57"/>
      <c r="I106" s="23"/>
      <c r="J106" s="23"/>
      <c r="K106" s="25"/>
      <c r="L106" s="23"/>
      <c r="M106" s="23"/>
      <c r="N106" s="25"/>
      <c r="O106" s="23"/>
      <c r="P106" s="23"/>
      <c r="Q106" s="25"/>
      <c r="R106" s="23"/>
      <c r="S106" s="23"/>
      <c r="T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</row>
    <row r="107" spans="2:49" x14ac:dyDescent="0.25">
      <c r="B107" s="23"/>
      <c r="C107" s="23"/>
      <c r="D107" s="23"/>
      <c r="E107" s="23"/>
      <c r="F107" s="23"/>
      <c r="G107" s="23"/>
      <c r="H107" s="57"/>
      <c r="I107" s="23"/>
      <c r="J107" s="23"/>
      <c r="K107" s="25"/>
      <c r="L107" s="23"/>
      <c r="M107" s="23"/>
      <c r="N107" s="25"/>
      <c r="O107" s="23"/>
      <c r="P107" s="23"/>
      <c r="Q107" s="25"/>
      <c r="R107" s="23"/>
      <c r="S107" s="23"/>
      <c r="T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</row>
    <row r="108" spans="2:49" x14ac:dyDescent="0.25">
      <c r="B108" s="23"/>
      <c r="C108" s="23"/>
      <c r="D108" s="23"/>
      <c r="E108" s="23"/>
      <c r="F108" s="23"/>
      <c r="G108" s="23"/>
      <c r="H108" s="57"/>
      <c r="I108" s="23"/>
      <c r="J108" s="23"/>
      <c r="K108" s="25"/>
      <c r="L108" s="23"/>
      <c r="M108" s="23"/>
      <c r="N108" s="25"/>
      <c r="O108" s="23"/>
      <c r="P108" s="23"/>
      <c r="Q108" s="25"/>
      <c r="R108" s="23"/>
      <c r="S108" s="23"/>
      <c r="T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</row>
    <row r="109" spans="2:49" x14ac:dyDescent="0.25">
      <c r="B109" s="23"/>
      <c r="C109" s="23"/>
      <c r="D109" s="23"/>
      <c r="E109" s="23"/>
      <c r="F109" s="23"/>
      <c r="G109" s="23"/>
      <c r="H109" s="57"/>
      <c r="I109" s="23"/>
      <c r="J109" s="23"/>
      <c r="K109" s="25"/>
      <c r="L109" s="23"/>
      <c r="M109" s="23"/>
      <c r="N109" s="25"/>
      <c r="O109" s="23"/>
      <c r="P109" s="23"/>
      <c r="Q109" s="25"/>
      <c r="R109" s="23"/>
      <c r="S109" s="23"/>
      <c r="T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</row>
    <row r="110" spans="2:49" x14ac:dyDescent="0.25">
      <c r="B110" s="23"/>
      <c r="C110" s="23"/>
      <c r="D110" s="23"/>
      <c r="E110" s="23"/>
      <c r="F110" s="23"/>
      <c r="G110" s="23"/>
      <c r="H110" s="57"/>
      <c r="I110" s="23"/>
      <c r="J110" s="23"/>
      <c r="K110" s="25"/>
      <c r="L110" s="23"/>
      <c r="M110" s="23"/>
      <c r="N110" s="25"/>
      <c r="O110" s="23"/>
      <c r="P110" s="23"/>
      <c r="Q110" s="25"/>
      <c r="R110" s="23"/>
      <c r="S110" s="23"/>
      <c r="T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</row>
    <row r="111" spans="2:49" x14ac:dyDescent="0.25">
      <c r="B111" s="23"/>
      <c r="C111" s="23"/>
      <c r="D111" s="23"/>
      <c r="E111" s="23"/>
      <c r="F111" s="23"/>
      <c r="G111" s="23"/>
      <c r="H111" s="57"/>
      <c r="I111" s="23"/>
      <c r="J111" s="23"/>
      <c r="K111" s="25"/>
      <c r="L111" s="23"/>
      <c r="M111" s="23"/>
      <c r="N111" s="25"/>
      <c r="O111" s="23"/>
      <c r="P111" s="23"/>
      <c r="Q111" s="25"/>
      <c r="R111" s="23"/>
      <c r="S111" s="23"/>
      <c r="T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</row>
    <row r="112" spans="2:49" x14ac:dyDescent="0.25">
      <c r="B112" s="23"/>
      <c r="C112" s="23"/>
      <c r="D112" s="23"/>
      <c r="E112" s="23"/>
      <c r="F112" s="23"/>
      <c r="G112" s="23"/>
      <c r="H112" s="57"/>
      <c r="I112" s="23"/>
      <c r="J112" s="23"/>
      <c r="K112" s="25"/>
      <c r="L112" s="23"/>
      <c r="M112" s="23"/>
      <c r="N112" s="25"/>
      <c r="O112" s="23"/>
      <c r="P112" s="23"/>
      <c r="Q112" s="25"/>
      <c r="R112" s="23"/>
      <c r="S112" s="23"/>
      <c r="T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</row>
    <row r="113" spans="2:49" x14ac:dyDescent="0.25">
      <c r="B113" s="23"/>
      <c r="C113" s="23"/>
      <c r="D113" s="23"/>
      <c r="E113" s="23"/>
      <c r="F113" s="23"/>
      <c r="G113" s="23"/>
      <c r="H113" s="57"/>
      <c r="I113" s="23"/>
      <c r="J113" s="23"/>
      <c r="K113" s="25"/>
      <c r="L113" s="23"/>
      <c r="M113" s="23"/>
      <c r="N113" s="25"/>
      <c r="O113" s="23"/>
      <c r="P113" s="23"/>
      <c r="Q113" s="25"/>
      <c r="R113" s="23"/>
      <c r="S113" s="23"/>
      <c r="T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</row>
    <row r="114" spans="2:49" x14ac:dyDescent="0.25">
      <c r="B114" s="23"/>
      <c r="C114" s="23"/>
      <c r="D114" s="23"/>
      <c r="E114" s="23"/>
      <c r="F114" s="23"/>
      <c r="G114" s="23"/>
      <c r="H114" s="57"/>
      <c r="I114" s="23"/>
      <c r="J114" s="23"/>
      <c r="K114" s="25"/>
      <c r="L114" s="23"/>
      <c r="M114" s="23"/>
      <c r="N114" s="25"/>
      <c r="O114" s="23"/>
      <c r="P114" s="23"/>
      <c r="Q114" s="25"/>
      <c r="R114" s="23"/>
      <c r="S114" s="23"/>
      <c r="T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</row>
    <row r="115" spans="2:49" x14ac:dyDescent="0.25">
      <c r="B115" s="23"/>
      <c r="C115" s="23"/>
      <c r="D115" s="23"/>
      <c r="E115" s="23"/>
      <c r="F115" s="23"/>
      <c r="G115" s="23"/>
      <c r="H115" s="57"/>
      <c r="I115" s="23"/>
      <c r="J115" s="23"/>
      <c r="K115" s="25"/>
      <c r="L115" s="23"/>
      <c r="M115" s="23"/>
      <c r="N115" s="25"/>
      <c r="O115" s="23"/>
      <c r="P115" s="23"/>
      <c r="Q115" s="25"/>
      <c r="R115" s="23"/>
      <c r="S115" s="23"/>
      <c r="T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</row>
    <row r="116" spans="2:49" x14ac:dyDescent="0.25">
      <c r="B116" s="23"/>
      <c r="C116" s="23"/>
      <c r="D116" s="23"/>
      <c r="E116" s="23"/>
      <c r="F116" s="23"/>
      <c r="G116" s="23"/>
      <c r="H116" s="57"/>
      <c r="I116" s="23"/>
      <c r="J116" s="23"/>
      <c r="K116" s="25"/>
      <c r="L116" s="23"/>
      <c r="M116" s="23"/>
      <c r="N116" s="25"/>
      <c r="O116" s="23"/>
      <c r="P116" s="23"/>
      <c r="Q116" s="25"/>
      <c r="R116" s="23"/>
      <c r="S116" s="23"/>
      <c r="T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</row>
    <row r="117" spans="2:49" x14ac:dyDescent="0.25">
      <c r="B117" s="23"/>
      <c r="C117" s="23"/>
      <c r="D117" s="23"/>
      <c r="E117" s="23"/>
      <c r="F117" s="23"/>
      <c r="G117" s="23"/>
      <c r="H117" s="57"/>
      <c r="I117" s="23"/>
      <c r="J117" s="23"/>
      <c r="K117" s="25"/>
      <c r="L117" s="23"/>
      <c r="M117" s="23"/>
      <c r="N117" s="25"/>
      <c r="O117" s="23"/>
      <c r="P117" s="23"/>
      <c r="Q117" s="25"/>
      <c r="R117" s="23"/>
      <c r="S117" s="23"/>
      <c r="T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</row>
    <row r="118" spans="2:49" x14ac:dyDescent="0.25">
      <c r="B118" s="23"/>
      <c r="C118" s="23"/>
      <c r="D118" s="23"/>
      <c r="E118" s="23"/>
      <c r="F118" s="23"/>
      <c r="G118" s="23"/>
      <c r="H118" s="57"/>
      <c r="I118" s="23"/>
      <c r="J118" s="23"/>
      <c r="K118" s="25"/>
      <c r="L118" s="23"/>
      <c r="M118" s="23"/>
      <c r="N118" s="25"/>
      <c r="O118" s="23"/>
      <c r="P118" s="23"/>
      <c r="Q118" s="25"/>
      <c r="R118" s="23"/>
      <c r="S118" s="23"/>
      <c r="T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</row>
    <row r="119" spans="2:49" x14ac:dyDescent="0.25">
      <c r="B119" s="23"/>
      <c r="C119" s="23"/>
      <c r="D119" s="23"/>
      <c r="E119" s="23"/>
      <c r="F119" s="23"/>
      <c r="G119" s="23"/>
      <c r="H119" s="57"/>
      <c r="I119" s="23"/>
      <c r="J119" s="23"/>
      <c r="K119" s="25"/>
      <c r="L119" s="23"/>
      <c r="M119" s="23"/>
      <c r="N119" s="25"/>
      <c r="O119" s="23"/>
      <c r="P119" s="23"/>
      <c r="Q119" s="25"/>
      <c r="R119" s="23"/>
      <c r="S119" s="23"/>
      <c r="T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</row>
    <row r="120" spans="2:49" x14ac:dyDescent="0.25">
      <c r="B120" s="23"/>
      <c r="C120" s="23"/>
      <c r="D120" s="23"/>
      <c r="E120" s="23"/>
      <c r="F120" s="23"/>
      <c r="G120" s="23"/>
      <c r="H120" s="57"/>
      <c r="I120" s="23"/>
      <c r="J120" s="23"/>
      <c r="K120" s="25"/>
      <c r="L120" s="23"/>
      <c r="M120" s="23"/>
      <c r="N120" s="25"/>
      <c r="O120" s="23"/>
      <c r="P120" s="23"/>
      <c r="Q120" s="25"/>
      <c r="R120" s="23"/>
      <c r="S120" s="23"/>
      <c r="T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</row>
    <row r="121" spans="2:49" x14ac:dyDescent="0.25">
      <c r="B121" s="23"/>
      <c r="C121" s="23"/>
      <c r="D121" s="23"/>
      <c r="E121" s="23"/>
      <c r="F121" s="23"/>
      <c r="G121" s="23"/>
      <c r="H121" s="57"/>
      <c r="I121" s="23"/>
      <c r="J121" s="23"/>
      <c r="K121" s="25"/>
      <c r="L121" s="23"/>
      <c r="M121" s="23"/>
      <c r="N121" s="25"/>
      <c r="O121" s="23"/>
      <c r="P121" s="23"/>
      <c r="Q121" s="25"/>
      <c r="R121" s="23"/>
      <c r="S121" s="23"/>
      <c r="T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</row>
    <row r="122" spans="2:49" x14ac:dyDescent="0.25">
      <c r="B122" s="23"/>
      <c r="C122" s="23"/>
      <c r="D122" s="23"/>
      <c r="E122" s="23"/>
      <c r="F122" s="23"/>
      <c r="G122" s="23"/>
      <c r="H122" s="57"/>
      <c r="I122" s="23"/>
      <c r="J122" s="23"/>
      <c r="K122" s="25"/>
      <c r="L122" s="23"/>
      <c r="M122" s="23"/>
      <c r="N122" s="25"/>
      <c r="O122" s="23"/>
      <c r="P122" s="23"/>
      <c r="Q122" s="25"/>
      <c r="R122" s="23"/>
      <c r="S122" s="23"/>
      <c r="T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</row>
    <row r="123" spans="2:49" x14ac:dyDescent="0.25">
      <c r="B123" s="23"/>
      <c r="C123" s="23"/>
      <c r="D123" s="23"/>
      <c r="E123" s="23"/>
      <c r="F123" s="23"/>
      <c r="G123" s="23"/>
      <c r="H123" s="57"/>
      <c r="I123" s="23"/>
      <c r="J123" s="23"/>
      <c r="K123" s="25"/>
      <c r="L123" s="23"/>
      <c r="M123" s="23"/>
      <c r="N123" s="25"/>
      <c r="O123" s="23"/>
      <c r="P123" s="23"/>
      <c r="Q123" s="25"/>
      <c r="R123" s="23"/>
      <c r="S123" s="23"/>
      <c r="T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</row>
    <row r="124" spans="2:49" x14ac:dyDescent="0.25">
      <c r="B124" s="23"/>
      <c r="C124" s="23"/>
      <c r="D124" s="23"/>
      <c r="E124" s="23"/>
      <c r="F124" s="23"/>
      <c r="G124" s="23"/>
      <c r="H124" s="57"/>
      <c r="I124" s="23"/>
      <c r="J124" s="23"/>
      <c r="K124" s="25"/>
      <c r="L124" s="23"/>
      <c r="M124" s="23"/>
      <c r="N124" s="25"/>
      <c r="O124" s="23"/>
      <c r="P124" s="23"/>
      <c r="Q124" s="25"/>
      <c r="R124" s="23"/>
      <c r="S124" s="23"/>
      <c r="T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</row>
    <row r="125" spans="2:49" x14ac:dyDescent="0.25">
      <c r="B125" s="23"/>
      <c r="C125" s="23"/>
      <c r="D125" s="23"/>
      <c r="E125" s="23"/>
      <c r="F125" s="23"/>
      <c r="G125" s="23"/>
      <c r="H125" s="57"/>
      <c r="I125" s="23"/>
      <c r="J125" s="23"/>
      <c r="K125" s="25"/>
      <c r="L125" s="23"/>
      <c r="M125" s="23"/>
      <c r="N125" s="25"/>
      <c r="O125" s="23"/>
      <c r="P125" s="23"/>
      <c r="Q125" s="25"/>
      <c r="R125" s="23"/>
      <c r="S125" s="23"/>
      <c r="T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</row>
    <row r="126" spans="2:49" x14ac:dyDescent="0.25">
      <c r="B126" s="23"/>
      <c r="C126" s="23"/>
      <c r="D126" s="23"/>
      <c r="E126" s="23"/>
      <c r="F126" s="23"/>
      <c r="G126" s="23"/>
      <c r="H126" s="57"/>
      <c r="I126" s="23"/>
      <c r="J126" s="23"/>
      <c r="K126" s="25"/>
      <c r="L126" s="23"/>
      <c r="M126" s="23"/>
      <c r="N126" s="25"/>
      <c r="O126" s="23"/>
      <c r="P126" s="23"/>
      <c r="Q126" s="25"/>
      <c r="R126" s="23"/>
      <c r="S126" s="23"/>
      <c r="T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</row>
    <row r="127" spans="2:49" x14ac:dyDescent="0.25">
      <c r="B127" s="23"/>
      <c r="C127" s="23"/>
      <c r="D127" s="23"/>
      <c r="E127" s="23"/>
      <c r="F127" s="23"/>
      <c r="G127" s="23"/>
      <c r="H127" s="57"/>
      <c r="I127" s="23"/>
      <c r="J127" s="23"/>
      <c r="K127" s="25"/>
      <c r="L127" s="23"/>
      <c r="M127" s="23"/>
      <c r="N127" s="25"/>
      <c r="O127" s="23"/>
      <c r="P127" s="23"/>
      <c r="Q127" s="25"/>
      <c r="R127" s="23"/>
      <c r="S127" s="23"/>
      <c r="T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</row>
    <row r="128" spans="2:49" x14ac:dyDescent="0.25">
      <c r="B128" s="23"/>
      <c r="C128" s="23"/>
      <c r="D128" s="23"/>
      <c r="E128" s="23"/>
      <c r="F128" s="23"/>
      <c r="G128" s="23"/>
      <c r="H128" s="57"/>
      <c r="I128" s="23"/>
      <c r="J128" s="23"/>
      <c r="K128" s="25"/>
      <c r="L128" s="23"/>
      <c r="M128" s="23"/>
      <c r="N128" s="25"/>
      <c r="O128" s="23"/>
      <c r="P128" s="23"/>
      <c r="Q128" s="25"/>
      <c r="R128" s="23"/>
      <c r="S128" s="23"/>
      <c r="T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</row>
    <row r="129" spans="2:49" x14ac:dyDescent="0.25">
      <c r="B129" s="23"/>
      <c r="C129" s="23"/>
      <c r="D129" s="23"/>
      <c r="E129" s="23"/>
      <c r="F129" s="23"/>
      <c r="G129" s="23"/>
      <c r="H129" s="57"/>
      <c r="I129" s="23"/>
      <c r="J129" s="23"/>
      <c r="K129" s="25"/>
      <c r="L129" s="23"/>
      <c r="M129" s="23"/>
      <c r="N129" s="25"/>
      <c r="O129" s="23"/>
      <c r="P129" s="23"/>
      <c r="Q129" s="25"/>
      <c r="R129" s="23"/>
      <c r="S129" s="23"/>
      <c r="T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</row>
    <row r="130" spans="2:49" x14ac:dyDescent="0.25">
      <c r="B130" s="23"/>
      <c r="C130" s="23"/>
      <c r="D130" s="23"/>
      <c r="E130" s="23"/>
      <c r="F130" s="23"/>
      <c r="G130" s="23"/>
      <c r="H130" s="57"/>
      <c r="I130" s="23"/>
      <c r="J130" s="23"/>
      <c r="K130" s="25"/>
      <c r="L130" s="23"/>
      <c r="M130" s="23"/>
      <c r="N130" s="25"/>
      <c r="O130" s="23"/>
      <c r="P130" s="23"/>
      <c r="Q130" s="25"/>
      <c r="R130" s="23"/>
      <c r="S130" s="23"/>
      <c r="T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</row>
    <row r="131" spans="2:49" x14ac:dyDescent="0.25">
      <c r="B131" s="23"/>
      <c r="C131" s="23"/>
      <c r="D131" s="23"/>
      <c r="E131" s="23"/>
      <c r="F131" s="23"/>
      <c r="G131" s="23"/>
      <c r="H131" s="57"/>
      <c r="I131" s="23"/>
      <c r="J131" s="23"/>
      <c r="K131" s="25"/>
      <c r="L131" s="23"/>
      <c r="M131" s="23"/>
      <c r="N131" s="25"/>
      <c r="O131" s="23"/>
      <c r="P131" s="23"/>
      <c r="Q131" s="25"/>
      <c r="R131" s="23"/>
      <c r="S131" s="23"/>
      <c r="T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</row>
    <row r="132" spans="2:49" x14ac:dyDescent="0.25">
      <c r="B132" s="23"/>
      <c r="C132" s="23"/>
      <c r="D132" s="23"/>
      <c r="E132" s="23"/>
      <c r="F132" s="23"/>
      <c r="G132" s="23"/>
      <c r="H132" s="57"/>
      <c r="I132" s="23"/>
      <c r="J132" s="23"/>
      <c r="K132" s="25"/>
      <c r="L132" s="23"/>
      <c r="M132" s="23"/>
      <c r="N132" s="25"/>
      <c r="O132" s="23"/>
      <c r="P132" s="23"/>
      <c r="Q132" s="25"/>
      <c r="R132" s="23"/>
      <c r="S132" s="23"/>
      <c r="T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</row>
    <row r="133" spans="2:49" x14ac:dyDescent="0.25">
      <c r="B133" s="23"/>
      <c r="C133" s="23"/>
      <c r="D133" s="23"/>
      <c r="E133" s="23"/>
      <c r="F133" s="23"/>
      <c r="G133" s="23"/>
      <c r="H133" s="57"/>
      <c r="I133" s="23"/>
      <c r="J133" s="23"/>
      <c r="K133" s="25"/>
      <c r="L133" s="23"/>
      <c r="M133" s="23"/>
      <c r="N133" s="25"/>
      <c r="O133" s="23"/>
      <c r="P133" s="23"/>
      <c r="Q133" s="25"/>
      <c r="R133" s="23"/>
      <c r="S133" s="23"/>
      <c r="T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</row>
    <row r="134" spans="2:49" x14ac:dyDescent="0.25">
      <c r="B134" s="23"/>
      <c r="C134" s="23"/>
      <c r="D134" s="23"/>
      <c r="E134" s="23"/>
      <c r="F134" s="23"/>
      <c r="G134" s="23"/>
      <c r="H134" s="57"/>
      <c r="I134" s="23"/>
      <c r="J134" s="23"/>
      <c r="K134" s="25"/>
      <c r="L134" s="23"/>
      <c r="M134" s="23"/>
      <c r="N134" s="25"/>
      <c r="O134" s="23"/>
      <c r="P134" s="23"/>
      <c r="Q134" s="25"/>
      <c r="R134" s="23"/>
      <c r="S134" s="23"/>
      <c r="T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</row>
    <row r="135" spans="2:49" x14ac:dyDescent="0.25">
      <c r="B135" s="23"/>
      <c r="C135" s="23"/>
      <c r="D135" s="23"/>
      <c r="E135" s="23"/>
      <c r="F135" s="23"/>
      <c r="G135" s="23"/>
      <c r="H135" s="57"/>
      <c r="I135" s="23"/>
      <c r="J135" s="23"/>
      <c r="K135" s="25"/>
      <c r="L135" s="23"/>
      <c r="M135" s="23"/>
      <c r="N135" s="25"/>
      <c r="O135" s="23"/>
      <c r="P135" s="23"/>
      <c r="Q135" s="25"/>
      <c r="R135" s="23"/>
      <c r="S135" s="23"/>
      <c r="T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</row>
    <row r="136" spans="2:49" x14ac:dyDescent="0.25">
      <c r="B136" s="23"/>
      <c r="C136" s="23"/>
      <c r="D136" s="23"/>
      <c r="E136" s="23"/>
      <c r="F136" s="23"/>
      <c r="G136" s="23"/>
      <c r="H136" s="57"/>
      <c r="I136" s="23"/>
      <c r="J136" s="23"/>
      <c r="K136" s="25"/>
      <c r="L136" s="23"/>
      <c r="M136" s="23"/>
      <c r="N136" s="25"/>
      <c r="O136" s="23"/>
      <c r="P136" s="23"/>
      <c r="Q136" s="25"/>
      <c r="R136" s="23"/>
      <c r="S136" s="23"/>
      <c r="T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</row>
    <row r="137" spans="2:49" x14ac:dyDescent="0.25">
      <c r="B137" s="23"/>
      <c r="C137" s="23"/>
      <c r="D137" s="23"/>
      <c r="E137" s="23"/>
      <c r="F137" s="23"/>
      <c r="G137" s="23"/>
      <c r="H137" s="57"/>
      <c r="I137" s="23"/>
      <c r="J137" s="23"/>
      <c r="K137" s="25"/>
      <c r="L137" s="23"/>
      <c r="M137" s="23"/>
      <c r="N137" s="25"/>
      <c r="O137" s="23"/>
      <c r="P137" s="23"/>
      <c r="Q137" s="25"/>
      <c r="R137" s="23"/>
      <c r="S137" s="23"/>
      <c r="T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</row>
    <row r="138" spans="2:49" x14ac:dyDescent="0.25">
      <c r="B138" s="23"/>
      <c r="C138" s="23"/>
      <c r="D138" s="23"/>
      <c r="E138" s="23"/>
      <c r="F138" s="23"/>
      <c r="G138" s="23"/>
      <c r="H138" s="57"/>
      <c r="I138" s="23"/>
      <c r="J138" s="23"/>
      <c r="K138" s="25"/>
      <c r="L138" s="23"/>
      <c r="M138" s="23"/>
      <c r="N138" s="25"/>
      <c r="O138" s="23"/>
      <c r="P138" s="23"/>
      <c r="Q138" s="25"/>
      <c r="R138" s="23"/>
      <c r="S138" s="23"/>
      <c r="T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</row>
    <row r="139" spans="2:49" x14ac:dyDescent="0.25">
      <c r="B139" s="23"/>
      <c r="C139" s="23"/>
      <c r="D139" s="23"/>
      <c r="E139" s="23"/>
      <c r="F139" s="23"/>
      <c r="G139" s="23"/>
      <c r="H139" s="57"/>
      <c r="I139" s="23"/>
      <c r="J139" s="23"/>
      <c r="K139" s="25"/>
      <c r="L139" s="23"/>
      <c r="M139" s="23"/>
      <c r="N139" s="25"/>
      <c r="O139" s="23"/>
      <c r="P139" s="23"/>
      <c r="Q139" s="25"/>
      <c r="R139" s="23"/>
      <c r="S139" s="23"/>
      <c r="T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</row>
    <row r="140" spans="2:49" x14ac:dyDescent="0.25">
      <c r="B140" s="23"/>
      <c r="C140" s="23"/>
      <c r="D140" s="23"/>
      <c r="E140" s="23"/>
      <c r="F140" s="23"/>
      <c r="G140" s="23"/>
      <c r="H140" s="57"/>
      <c r="I140" s="23"/>
      <c r="J140" s="23"/>
      <c r="K140" s="25"/>
      <c r="L140" s="23"/>
      <c r="M140" s="23"/>
      <c r="N140" s="25"/>
      <c r="O140" s="23"/>
      <c r="P140" s="23"/>
      <c r="Q140" s="25"/>
      <c r="R140" s="23"/>
      <c r="S140" s="23"/>
      <c r="T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</row>
    <row r="141" spans="2:49" x14ac:dyDescent="0.25">
      <c r="B141" s="23"/>
      <c r="C141" s="23"/>
      <c r="D141" s="23"/>
      <c r="E141" s="23"/>
      <c r="F141" s="23"/>
      <c r="G141" s="23"/>
      <c r="H141" s="57"/>
      <c r="I141" s="23"/>
      <c r="J141" s="23"/>
      <c r="K141" s="25"/>
      <c r="L141" s="23"/>
      <c r="M141" s="23"/>
      <c r="N141" s="25"/>
      <c r="O141" s="23"/>
      <c r="P141" s="23"/>
      <c r="Q141" s="25"/>
      <c r="R141" s="23"/>
      <c r="S141" s="23"/>
      <c r="T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</row>
    <row r="142" spans="2:49" x14ac:dyDescent="0.25">
      <c r="B142" s="23"/>
      <c r="C142" s="23"/>
      <c r="D142" s="23"/>
      <c r="E142" s="23"/>
      <c r="F142" s="23"/>
      <c r="G142" s="23"/>
      <c r="H142" s="57"/>
      <c r="I142" s="23"/>
      <c r="J142" s="23"/>
      <c r="K142" s="25"/>
      <c r="L142" s="23"/>
      <c r="M142" s="23"/>
      <c r="N142" s="25"/>
      <c r="O142" s="23"/>
      <c r="P142" s="23"/>
      <c r="Q142" s="25"/>
      <c r="R142" s="23"/>
      <c r="S142" s="23"/>
      <c r="T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</row>
    <row r="143" spans="2:49" x14ac:dyDescent="0.25">
      <c r="B143" s="23"/>
      <c r="C143" s="23"/>
      <c r="D143" s="23"/>
      <c r="E143" s="23"/>
      <c r="F143" s="23"/>
      <c r="G143" s="23"/>
      <c r="H143" s="57"/>
      <c r="I143" s="23"/>
      <c r="J143" s="23"/>
      <c r="K143" s="25"/>
      <c r="L143" s="23"/>
      <c r="M143" s="23"/>
      <c r="N143" s="25"/>
      <c r="O143" s="23"/>
      <c r="P143" s="23"/>
      <c r="Q143" s="25"/>
      <c r="R143" s="23"/>
      <c r="S143" s="23"/>
      <c r="T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</row>
    <row r="144" spans="2:49" x14ac:dyDescent="0.25">
      <c r="B144" s="23"/>
      <c r="C144" s="23"/>
      <c r="D144" s="23"/>
      <c r="E144" s="23"/>
      <c r="F144" s="23"/>
      <c r="G144" s="23"/>
      <c r="H144" s="57"/>
      <c r="I144" s="23"/>
      <c r="J144" s="23"/>
      <c r="K144" s="25"/>
      <c r="L144" s="23"/>
      <c r="M144" s="23"/>
      <c r="N144" s="25"/>
      <c r="O144" s="23"/>
      <c r="P144" s="23"/>
      <c r="Q144" s="25"/>
      <c r="R144" s="23"/>
      <c r="S144" s="23"/>
      <c r="T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</row>
    <row r="145" spans="2:49" x14ac:dyDescent="0.25">
      <c r="B145" s="23"/>
      <c r="C145" s="23"/>
      <c r="D145" s="23"/>
      <c r="E145" s="23"/>
      <c r="F145" s="23"/>
      <c r="G145" s="23"/>
      <c r="H145" s="57"/>
      <c r="I145" s="23"/>
      <c r="J145" s="23"/>
      <c r="K145" s="25"/>
      <c r="L145" s="23"/>
      <c r="M145" s="23"/>
      <c r="N145" s="25"/>
      <c r="O145" s="23"/>
      <c r="P145" s="23"/>
      <c r="Q145" s="25"/>
      <c r="R145" s="23"/>
      <c r="S145" s="23"/>
      <c r="T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</row>
    <row r="146" spans="2:49" x14ac:dyDescent="0.25">
      <c r="B146" s="23"/>
      <c r="C146" s="23"/>
      <c r="D146" s="23"/>
      <c r="E146" s="23"/>
      <c r="F146" s="23"/>
      <c r="G146" s="23"/>
      <c r="H146" s="57"/>
      <c r="I146" s="23"/>
      <c r="J146" s="23"/>
      <c r="K146" s="25"/>
      <c r="L146" s="23"/>
      <c r="M146" s="23"/>
      <c r="N146" s="25"/>
      <c r="O146" s="23"/>
      <c r="P146" s="23"/>
      <c r="Q146" s="25"/>
      <c r="R146" s="23"/>
      <c r="S146" s="23"/>
      <c r="T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</row>
    <row r="147" spans="2:49" x14ac:dyDescent="0.25">
      <c r="B147" s="23"/>
      <c r="C147" s="23"/>
      <c r="D147" s="23"/>
      <c r="E147" s="23"/>
      <c r="F147" s="23"/>
      <c r="G147" s="23"/>
      <c r="H147" s="57"/>
      <c r="I147" s="23"/>
      <c r="J147" s="23"/>
      <c r="K147" s="25"/>
      <c r="L147" s="23"/>
      <c r="M147" s="23"/>
      <c r="N147" s="25"/>
      <c r="O147" s="23"/>
      <c r="P147" s="23"/>
      <c r="Q147" s="25"/>
      <c r="R147" s="23"/>
      <c r="S147" s="23"/>
      <c r="T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</row>
    <row r="148" spans="2:49" x14ac:dyDescent="0.25">
      <c r="B148" s="23"/>
      <c r="C148" s="23"/>
      <c r="D148" s="23"/>
      <c r="E148" s="23"/>
      <c r="F148" s="23"/>
      <c r="G148" s="23"/>
      <c r="H148" s="57"/>
      <c r="I148" s="23"/>
      <c r="J148" s="23"/>
      <c r="K148" s="25"/>
      <c r="L148" s="23"/>
      <c r="M148" s="23"/>
      <c r="N148" s="25"/>
      <c r="O148" s="23"/>
      <c r="P148" s="23"/>
      <c r="Q148" s="25"/>
      <c r="R148" s="23"/>
      <c r="S148" s="23"/>
      <c r="T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</row>
    <row r="149" spans="2:49" x14ac:dyDescent="0.25">
      <c r="B149" s="23"/>
      <c r="C149" s="23"/>
      <c r="D149" s="23"/>
      <c r="E149" s="23"/>
      <c r="F149" s="23"/>
      <c r="G149" s="23"/>
      <c r="H149" s="57"/>
      <c r="I149" s="23"/>
      <c r="J149" s="23"/>
      <c r="K149" s="25"/>
      <c r="L149" s="23"/>
      <c r="M149" s="23"/>
      <c r="N149" s="25"/>
      <c r="O149" s="23"/>
      <c r="P149" s="23"/>
      <c r="Q149" s="25"/>
      <c r="R149" s="23"/>
      <c r="S149" s="23"/>
      <c r="T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</row>
    <row r="150" spans="2:49" x14ac:dyDescent="0.25">
      <c r="B150" s="23"/>
      <c r="C150" s="23"/>
      <c r="D150" s="23"/>
      <c r="E150" s="23"/>
      <c r="F150" s="23"/>
      <c r="G150" s="23"/>
      <c r="H150" s="57"/>
      <c r="I150" s="23"/>
      <c r="J150" s="23"/>
      <c r="K150" s="25"/>
      <c r="L150" s="23"/>
      <c r="M150" s="23"/>
      <c r="N150" s="25"/>
      <c r="O150" s="23"/>
      <c r="P150" s="23"/>
      <c r="Q150" s="25"/>
      <c r="R150" s="23"/>
      <c r="S150" s="23"/>
      <c r="T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</row>
    <row r="151" spans="2:49" x14ac:dyDescent="0.25">
      <c r="B151" s="23"/>
      <c r="C151" s="23"/>
      <c r="D151" s="23"/>
      <c r="E151" s="23"/>
      <c r="F151" s="23"/>
      <c r="G151" s="23"/>
      <c r="H151" s="57"/>
      <c r="I151" s="23"/>
      <c r="J151" s="23"/>
      <c r="K151" s="25"/>
      <c r="L151" s="23"/>
      <c r="M151" s="23"/>
      <c r="N151" s="25"/>
      <c r="O151" s="23"/>
      <c r="P151" s="23"/>
      <c r="Q151" s="25"/>
      <c r="R151" s="23"/>
      <c r="S151" s="23"/>
      <c r="T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</row>
    <row r="152" spans="2:49" x14ac:dyDescent="0.25">
      <c r="B152" s="23"/>
      <c r="C152" s="23"/>
      <c r="D152" s="23"/>
      <c r="E152" s="23"/>
      <c r="F152" s="23"/>
      <c r="G152" s="23"/>
      <c r="H152" s="57"/>
      <c r="I152" s="23"/>
      <c r="J152" s="23"/>
      <c r="K152" s="25"/>
      <c r="L152" s="23"/>
      <c r="M152" s="23"/>
      <c r="N152" s="25"/>
      <c r="O152" s="23"/>
      <c r="P152" s="23"/>
      <c r="Q152" s="25"/>
      <c r="R152" s="23"/>
      <c r="S152" s="23"/>
      <c r="T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</row>
    <row r="153" spans="2:49" x14ac:dyDescent="0.25">
      <c r="B153" s="23"/>
      <c r="C153" s="23"/>
      <c r="D153" s="23"/>
      <c r="E153" s="23"/>
      <c r="F153" s="23"/>
      <c r="G153" s="23"/>
      <c r="H153" s="57"/>
      <c r="I153" s="23"/>
      <c r="J153" s="23"/>
      <c r="K153" s="25"/>
      <c r="L153" s="23"/>
      <c r="M153" s="23"/>
      <c r="N153" s="25"/>
      <c r="O153" s="23"/>
      <c r="P153" s="23"/>
      <c r="Q153" s="25"/>
      <c r="R153" s="23"/>
      <c r="S153" s="23"/>
      <c r="T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</row>
    <row r="154" spans="2:49" x14ac:dyDescent="0.25">
      <c r="B154" s="23"/>
      <c r="C154" s="23"/>
      <c r="D154" s="23"/>
      <c r="E154" s="23"/>
      <c r="F154" s="23"/>
      <c r="G154" s="23"/>
      <c r="H154" s="57"/>
      <c r="I154" s="23"/>
      <c r="J154" s="23"/>
      <c r="K154" s="25"/>
      <c r="L154" s="23"/>
      <c r="M154" s="23"/>
      <c r="N154" s="25"/>
      <c r="O154" s="23"/>
      <c r="P154" s="23"/>
      <c r="Q154" s="25"/>
      <c r="R154" s="23"/>
      <c r="S154" s="23"/>
      <c r="T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</row>
    <row r="155" spans="2:49" x14ac:dyDescent="0.25">
      <c r="B155" s="23"/>
      <c r="C155" s="23"/>
      <c r="D155" s="23"/>
      <c r="E155" s="23"/>
      <c r="F155" s="23"/>
      <c r="G155" s="23"/>
      <c r="H155" s="57"/>
      <c r="I155" s="23"/>
      <c r="J155" s="23"/>
      <c r="K155" s="25"/>
      <c r="L155" s="23"/>
      <c r="M155" s="23"/>
      <c r="N155" s="25"/>
      <c r="O155" s="23"/>
      <c r="P155" s="23"/>
      <c r="Q155" s="25"/>
      <c r="R155" s="23"/>
      <c r="S155" s="23"/>
      <c r="T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</row>
    <row r="156" spans="2:49" x14ac:dyDescent="0.25">
      <c r="B156" s="23"/>
      <c r="C156" s="23"/>
      <c r="D156" s="23"/>
      <c r="E156" s="23"/>
      <c r="F156" s="23"/>
      <c r="G156" s="23"/>
      <c r="H156" s="57"/>
      <c r="I156" s="23"/>
      <c r="J156" s="23"/>
      <c r="K156" s="25"/>
      <c r="L156" s="23"/>
      <c r="M156" s="23"/>
      <c r="N156" s="25"/>
      <c r="O156" s="23"/>
      <c r="P156" s="23"/>
      <c r="Q156" s="25"/>
      <c r="R156" s="23"/>
      <c r="S156" s="23"/>
      <c r="T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</row>
    <row r="157" spans="2:49" x14ac:dyDescent="0.25">
      <c r="B157" s="23"/>
      <c r="C157" s="23"/>
      <c r="D157" s="23"/>
      <c r="E157" s="23"/>
      <c r="F157" s="23"/>
      <c r="G157" s="23"/>
      <c r="H157" s="57"/>
      <c r="I157" s="23"/>
      <c r="J157" s="23"/>
      <c r="K157" s="25"/>
      <c r="L157" s="23"/>
      <c r="M157" s="23"/>
      <c r="N157" s="25"/>
      <c r="O157" s="23"/>
      <c r="P157" s="23"/>
      <c r="Q157" s="25"/>
      <c r="R157" s="23"/>
      <c r="S157" s="23"/>
      <c r="T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</row>
    <row r="158" spans="2:49" x14ac:dyDescent="0.25">
      <c r="B158" s="23"/>
      <c r="C158" s="23"/>
      <c r="D158" s="23"/>
      <c r="E158" s="23"/>
      <c r="F158" s="23"/>
      <c r="G158" s="23"/>
      <c r="H158" s="57"/>
      <c r="I158" s="23"/>
      <c r="J158" s="23"/>
      <c r="K158" s="25"/>
      <c r="L158" s="23"/>
      <c r="M158" s="23"/>
      <c r="N158" s="25"/>
      <c r="O158" s="23"/>
      <c r="P158" s="23"/>
      <c r="Q158" s="25"/>
      <c r="R158" s="23"/>
      <c r="S158" s="23"/>
      <c r="T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</row>
    <row r="159" spans="2:49" x14ac:dyDescent="0.25">
      <c r="B159" s="23"/>
      <c r="C159" s="23"/>
      <c r="D159" s="23"/>
      <c r="E159" s="23"/>
      <c r="F159" s="23"/>
      <c r="G159" s="23"/>
      <c r="H159" s="57"/>
      <c r="I159" s="23"/>
      <c r="J159" s="23"/>
      <c r="K159" s="25"/>
      <c r="L159" s="23"/>
      <c r="M159" s="23"/>
      <c r="N159" s="25"/>
      <c r="O159" s="23"/>
      <c r="P159" s="23"/>
      <c r="Q159" s="25"/>
      <c r="R159" s="23"/>
      <c r="S159" s="23"/>
      <c r="T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</row>
    <row r="160" spans="2:49" x14ac:dyDescent="0.25">
      <c r="B160" s="23"/>
      <c r="C160" s="23"/>
      <c r="D160" s="23"/>
      <c r="E160" s="23"/>
      <c r="F160" s="23"/>
      <c r="G160" s="23"/>
      <c r="H160" s="57"/>
      <c r="I160" s="23"/>
      <c r="J160" s="23"/>
      <c r="K160" s="25"/>
      <c r="L160" s="23"/>
      <c r="M160" s="23"/>
      <c r="N160" s="25"/>
      <c r="O160" s="23"/>
      <c r="P160" s="23"/>
      <c r="Q160" s="25"/>
      <c r="R160" s="23"/>
      <c r="S160" s="23"/>
      <c r="T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</row>
    <row r="161" spans="2:49" x14ac:dyDescent="0.25">
      <c r="B161" s="23"/>
      <c r="C161" s="23"/>
      <c r="D161" s="23"/>
      <c r="E161" s="23"/>
      <c r="F161" s="23"/>
      <c r="G161" s="23"/>
      <c r="H161" s="57"/>
      <c r="I161" s="23"/>
      <c r="J161" s="23"/>
      <c r="K161" s="25"/>
      <c r="L161" s="23"/>
      <c r="M161" s="23"/>
      <c r="N161" s="25"/>
      <c r="O161" s="23"/>
      <c r="P161" s="23"/>
      <c r="Q161" s="25"/>
      <c r="R161" s="23"/>
      <c r="S161" s="23"/>
      <c r="T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</row>
    <row r="162" spans="2:49" x14ac:dyDescent="0.25">
      <c r="B162" s="23"/>
      <c r="C162" s="23"/>
      <c r="D162" s="23"/>
      <c r="E162" s="23"/>
      <c r="F162" s="23"/>
      <c r="G162" s="23"/>
      <c r="H162" s="57"/>
      <c r="I162" s="23"/>
      <c r="J162" s="23"/>
      <c r="K162" s="25"/>
      <c r="L162" s="23"/>
      <c r="M162" s="23"/>
      <c r="N162" s="25"/>
      <c r="O162" s="23"/>
      <c r="P162" s="23"/>
      <c r="Q162" s="25"/>
      <c r="R162" s="23"/>
      <c r="S162" s="23"/>
      <c r="T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</row>
    <row r="163" spans="2:49" x14ac:dyDescent="0.25">
      <c r="B163" s="23"/>
      <c r="C163" s="23"/>
      <c r="D163" s="23"/>
      <c r="E163" s="23"/>
      <c r="F163" s="23"/>
      <c r="G163" s="23"/>
      <c r="H163" s="57"/>
      <c r="I163" s="23"/>
      <c r="J163" s="23"/>
      <c r="K163" s="25"/>
      <c r="L163" s="23"/>
      <c r="M163" s="23"/>
      <c r="N163" s="25"/>
      <c r="O163" s="23"/>
      <c r="P163" s="23"/>
      <c r="Q163" s="25"/>
      <c r="R163" s="23"/>
      <c r="S163" s="23"/>
      <c r="T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</row>
    <row r="164" spans="2:49" x14ac:dyDescent="0.25">
      <c r="B164" s="23"/>
      <c r="C164" s="23"/>
      <c r="D164" s="23"/>
      <c r="E164" s="23"/>
      <c r="F164" s="23"/>
      <c r="G164" s="23"/>
      <c r="H164" s="57"/>
      <c r="I164" s="23"/>
      <c r="J164" s="23"/>
      <c r="K164" s="25"/>
      <c r="L164" s="23"/>
      <c r="M164" s="23"/>
      <c r="N164" s="25"/>
      <c r="O164" s="23"/>
      <c r="P164" s="23"/>
      <c r="Q164" s="25"/>
      <c r="R164" s="23"/>
      <c r="S164" s="23"/>
      <c r="T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</row>
    <row r="165" spans="2:49" x14ac:dyDescent="0.25">
      <c r="B165" s="23"/>
      <c r="C165" s="23"/>
      <c r="D165" s="23"/>
      <c r="E165" s="23"/>
      <c r="F165" s="23"/>
      <c r="G165" s="23"/>
      <c r="H165" s="57"/>
      <c r="I165" s="23"/>
      <c r="J165" s="23"/>
      <c r="K165" s="25"/>
      <c r="L165" s="23"/>
      <c r="M165" s="23"/>
      <c r="N165" s="25"/>
      <c r="O165" s="23"/>
      <c r="P165" s="23"/>
      <c r="Q165" s="25"/>
      <c r="R165" s="23"/>
      <c r="S165" s="23"/>
      <c r="T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</row>
    <row r="166" spans="2:49" x14ac:dyDescent="0.25">
      <c r="B166" s="23"/>
      <c r="C166" s="23"/>
      <c r="D166" s="23"/>
      <c r="E166" s="23"/>
      <c r="F166" s="23"/>
      <c r="G166" s="23"/>
      <c r="H166" s="57"/>
      <c r="I166" s="23"/>
      <c r="J166" s="23"/>
      <c r="K166" s="25"/>
      <c r="L166" s="23"/>
      <c r="M166" s="23"/>
      <c r="N166" s="25"/>
      <c r="O166" s="23"/>
      <c r="P166" s="23"/>
      <c r="Q166" s="25"/>
      <c r="R166" s="23"/>
      <c r="S166" s="23"/>
      <c r="T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</row>
    <row r="167" spans="2:49" x14ac:dyDescent="0.25">
      <c r="B167" s="23"/>
      <c r="C167" s="23"/>
      <c r="D167" s="23"/>
      <c r="E167" s="23"/>
      <c r="F167" s="23"/>
      <c r="G167" s="23"/>
      <c r="H167" s="57"/>
      <c r="I167" s="23"/>
      <c r="J167" s="23"/>
      <c r="K167" s="25"/>
      <c r="L167" s="23"/>
      <c r="M167" s="23"/>
      <c r="N167" s="25"/>
      <c r="O167" s="23"/>
      <c r="P167" s="23"/>
      <c r="Q167" s="25"/>
      <c r="R167" s="23"/>
      <c r="S167" s="23"/>
      <c r="T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</row>
    <row r="168" spans="2:49" x14ac:dyDescent="0.25">
      <c r="B168" s="23"/>
      <c r="C168" s="23"/>
      <c r="D168" s="23"/>
      <c r="E168" s="23"/>
      <c r="F168" s="23"/>
      <c r="G168" s="23"/>
      <c r="H168" s="57"/>
      <c r="I168" s="23"/>
      <c r="J168" s="23"/>
      <c r="K168" s="25"/>
      <c r="L168" s="23"/>
      <c r="M168" s="23"/>
      <c r="N168" s="25"/>
      <c r="O168" s="23"/>
      <c r="P168" s="23"/>
      <c r="Q168" s="25"/>
      <c r="R168" s="23"/>
      <c r="S168" s="23"/>
      <c r="T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</row>
    <row r="169" spans="2:49" x14ac:dyDescent="0.25">
      <c r="B169" s="23"/>
      <c r="C169" s="23"/>
      <c r="D169" s="23"/>
      <c r="E169" s="23"/>
      <c r="F169" s="23"/>
      <c r="G169" s="23"/>
      <c r="H169" s="57"/>
      <c r="I169" s="23"/>
      <c r="J169" s="23"/>
      <c r="K169" s="25"/>
      <c r="L169" s="23"/>
      <c r="M169" s="23"/>
      <c r="N169" s="25"/>
      <c r="O169" s="23"/>
      <c r="P169" s="23"/>
      <c r="Q169" s="25"/>
      <c r="R169" s="23"/>
      <c r="S169" s="23"/>
      <c r="T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</row>
    <row r="170" spans="2:49" x14ac:dyDescent="0.25">
      <c r="B170" s="23"/>
      <c r="C170" s="23"/>
      <c r="D170" s="23"/>
      <c r="E170" s="23"/>
      <c r="F170" s="23"/>
      <c r="G170" s="23"/>
      <c r="H170" s="57"/>
      <c r="I170" s="23"/>
      <c r="J170" s="23"/>
      <c r="K170" s="25"/>
      <c r="L170" s="23"/>
      <c r="M170" s="23"/>
      <c r="N170" s="25"/>
      <c r="O170" s="23"/>
      <c r="P170" s="23"/>
      <c r="Q170" s="25"/>
      <c r="R170" s="23"/>
      <c r="S170" s="23"/>
      <c r="T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</row>
    <row r="171" spans="2:49" x14ac:dyDescent="0.25">
      <c r="B171" s="23"/>
      <c r="C171" s="23"/>
      <c r="D171" s="23"/>
      <c r="E171" s="23"/>
      <c r="F171" s="23"/>
      <c r="G171" s="23"/>
      <c r="H171" s="57"/>
      <c r="I171" s="23"/>
      <c r="J171" s="23"/>
      <c r="K171" s="25"/>
      <c r="L171" s="23"/>
      <c r="M171" s="23"/>
      <c r="N171" s="25"/>
      <c r="O171" s="23"/>
      <c r="P171" s="23"/>
      <c r="Q171" s="25"/>
      <c r="R171" s="23"/>
      <c r="S171" s="23"/>
      <c r="T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</row>
    <row r="172" spans="2:49" x14ac:dyDescent="0.25">
      <c r="B172" s="23"/>
      <c r="C172" s="23"/>
      <c r="D172" s="23"/>
      <c r="E172" s="23"/>
      <c r="F172" s="23"/>
      <c r="G172" s="23"/>
      <c r="H172" s="57"/>
      <c r="I172" s="23"/>
      <c r="J172" s="23"/>
      <c r="K172" s="25"/>
      <c r="L172" s="23"/>
      <c r="M172" s="23"/>
      <c r="N172" s="25"/>
      <c r="O172" s="23"/>
      <c r="P172" s="23"/>
      <c r="Q172" s="25"/>
      <c r="R172" s="23"/>
      <c r="S172" s="23"/>
      <c r="T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</row>
    <row r="173" spans="2:49" x14ac:dyDescent="0.25">
      <c r="B173" s="23"/>
      <c r="C173" s="23"/>
      <c r="D173" s="23"/>
      <c r="E173" s="23"/>
      <c r="F173" s="23"/>
      <c r="G173" s="23"/>
      <c r="H173" s="57"/>
      <c r="I173" s="23"/>
      <c r="J173" s="23"/>
      <c r="K173" s="25"/>
      <c r="L173" s="23"/>
      <c r="M173" s="23"/>
      <c r="N173" s="25"/>
      <c r="O173" s="23"/>
      <c r="P173" s="23"/>
      <c r="Q173" s="25"/>
      <c r="R173" s="23"/>
      <c r="S173" s="23"/>
      <c r="T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</row>
    <row r="174" spans="2:49" x14ac:dyDescent="0.25">
      <c r="B174" s="23"/>
      <c r="C174" s="23"/>
      <c r="D174" s="23"/>
      <c r="E174" s="23"/>
      <c r="F174" s="23"/>
      <c r="G174" s="23"/>
      <c r="H174" s="57"/>
      <c r="I174" s="23"/>
      <c r="J174" s="23"/>
      <c r="K174" s="25"/>
      <c r="L174" s="23"/>
      <c r="M174" s="23"/>
      <c r="N174" s="25"/>
      <c r="O174" s="23"/>
      <c r="P174" s="23"/>
      <c r="Q174" s="25"/>
      <c r="R174" s="23"/>
      <c r="S174" s="23"/>
      <c r="T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</row>
    <row r="175" spans="2:49" x14ac:dyDescent="0.25">
      <c r="B175" s="23"/>
      <c r="C175" s="23"/>
      <c r="D175" s="23"/>
      <c r="E175" s="23"/>
      <c r="F175" s="23"/>
      <c r="G175" s="23"/>
      <c r="H175" s="57"/>
      <c r="I175" s="23"/>
      <c r="J175" s="23"/>
      <c r="K175" s="25"/>
      <c r="L175" s="23"/>
      <c r="M175" s="23"/>
      <c r="N175" s="25"/>
      <c r="O175" s="23"/>
      <c r="P175" s="23"/>
      <c r="Q175" s="25"/>
      <c r="R175" s="23"/>
      <c r="S175" s="23"/>
      <c r="T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</row>
    <row r="176" spans="2:49" x14ac:dyDescent="0.25">
      <c r="B176" s="23"/>
      <c r="C176" s="23"/>
      <c r="D176" s="23"/>
      <c r="E176" s="23"/>
      <c r="F176" s="23"/>
      <c r="G176" s="23"/>
      <c r="H176" s="57"/>
      <c r="I176" s="23"/>
      <c r="J176" s="23"/>
      <c r="K176" s="25"/>
      <c r="L176" s="23"/>
      <c r="M176" s="23"/>
      <c r="N176" s="25"/>
      <c r="O176" s="23"/>
      <c r="P176" s="23"/>
      <c r="Q176" s="25"/>
      <c r="R176" s="23"/>
      <c r="S176" s="23"/>
      <c r="T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</row>
    <row r="177" spans="2:49" x14ac:dyDescent="0.25">
      <c r="B177" s="23"/>
      <c r="C177" s="23"/>
      <c r="D177" s="23"/>
      <c r="E177" s="23"/>
      <c r="F177" s="23"/>
      <c r="G177" s="23"/>
      <c r="H177" s="57"/>
      <c r="I177" s="23"/>
      <c r="J177" s="23"/>
      <c r="K177" s="25"/>
      <c r="L177" s="23"/>
      <c r="M177" s="23"/>
      <c r="N177" s="25"/>
      <c r="O177" s="23"/>
      <c r="P177" s="23"/>
      <c r="Q177" s="25"/>
      <c r="R177" s="23"/>
      <c r="S177" s="23"/>
      <c r="T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</row>
    <row r="178" spans="2:49" x14ac:dyDescent="0.25">
      <c r="B178" s="23"/>
      <c r="C178" s="23"/>
      <c r="D178" s="23"/>
      <c r="E178" s="23"/>
      <c r="F178" s="23"/>
      <c r="G178" s="23"/>
      <c r="H178" s="57"/>
      <c r="I178" s="23"/>
      <c r="J178" s="23"/>
      <c r="K178" s="25"/>
      <c r="L178" s="23"/>
      <c r="M178" s="23"/>
      <c r="N178" s="25"/>
      <c r="O178" s="23"/>
      <c r="P178" s="23"/>
      <c r="Q178" s="25"/>
      <c r="R178" s="23"/>
      <c r="S178" s="23"/>
      <c r="T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</row>
    <row r="179" spans="2:49" x14ac:dyDescent="0.25">
      <c r="B179" s="23"/>
      <c r="C179" s="23"/>
      <c r="D179" s="23"/>
      <c r="E179" s="23"/>
      <c r="F179" s="23"/>
      <c r="G179" s="23"/>
      <c r="H179" s="57"/>
      <c r="I179" s="23"/>
      <c r="J179" s="23"/>
      <c r="K179" s="25"/>
      <c r="L179" s="23"/>
      <c r="M179" s="23"/>
      <c r="N179" s="25"/>
      <c r="O179" s="23"/>
      <c r="P179" s="23"/>
      <c r="Q179" s="25"/>
      <c r="R179" s="23"/>
      <c r="S179" s="23"/>
      <c r="T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</row>
    <row r="180" spans="2:49" x14ac:dyDescent="0.25">
      <c r="B180" s="23"/>
      <c r="C180" s="23"/>
      <c r="D180" s="23"/>
      <c r="E180" s="23"/>
      <c r="F180" s="23"/>
      <c r="G180" s="23"/>
      <c r="H180" s="57"/>
      <c r="I180" s="23"/>
      <c r="J180" s="23"/>
      <c r="K180" s="25"/>
      <c r="L180" s="23"/>
      <c r="M180" s="23"/>
      <c r="N180" s="25"/>
      <c r="O180" s="23"/>
      <c r="P180" s="23"/>
      <c r="Q180" s="25"/>
      <c r="R180" s="23"/>
      <c r="S180" s="23"/>
      <c r="T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</row>
    <row r="181" spans="2:49" x14ac:dyDescent="0.25">
      <c r="B181" s="23"/>
      <c r="C181" s="23"/>
      <c r="D181" s="23"/>
      <c r="E181" s="23"/>
      <c r="F181" s="23"/>
      <c r="G181" s="23"/>
      <c r="H181" s="57"/>
      <c r="I181" s="23"/>
      <c r="J181" s="23"/>
      <c r="K181" s="25"/>
      <c r="L181" s="23"/>
      <c r="M181" s="23"/>
      <c r="N181" s="25"/>
      <c r="O181" s="23"/>
      <c r="P181" s="23"/>
      <c r="Q181" s="25"/>
      <c r="R181" s="23"/>
      <c r="S181" s="23"/>
      <c r="T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</row>
    <row r="182" spans="2:49" x14ac:dyDescent="0.25">
      <c r="B182" s="23"/>
      <c r="C182" s="23"/>
      <c r="D182" s="23"/>
      <c r="E182" s="23"/>
      <c r="F182" s="23"/>
      <c r="G182" s="23"/>
      <c r="H182" s="57"/>
      <c r="I182" s="23"/>
      <c r="J182" s="23"/>
      <c r="K182" s="25"/>
      <c r="L182" s="23"/>
      <c r="M182" s="23"/>
      <c r="N182" s="25"/>
      <c r="O182" s="23"/>
      <c r="P182" s="23"/>
      <c r="Q182" s="25"/>
      <c r="R182" s="23"/>
      <c r="S182" s="23"/>
      <c r="T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</row>
    <row r="183" spans="2:49" x14ac:dyDescent="0.25">
      <c r="B183" s="23"/>
      <c r="C183" s="23"/>
      <c r="D183" s="23"/>
      <c r="E183" s="23"/>
      <c r="F183" s="23"/>
      <c r="G183" s="23"/>
      <c r="H183" s="57"/>
      <c r="I183" s="23"/>
      <c r="J183" s="23"/>
      <c r="K183" s="25"/>
      <c r="L183" s="23"/>
      <c r="M183" s="23"/>
      <c r="N183" s="25"/>
      <c r="O183" s="23"/>
      <c r="P183" s="23"/>
      <c r="Q183" s="25"/>
      <c r="R183" s="23"/>
      <c r="S183" s="23"/>
      <c r="T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</row>
    <row r="184" spans="2:49" x14ac:dyDescent="0.25">
      <c r="B184" s="23"/>
      <c r="C184" s="23"/>
      <c r="D184" s="23"/>
      <c r="E184" s="23"/>
      <c r="F184" s="23"/>
      <c r="G184" s="23"/>
      <c r="H184" s="57"/>
      <c r="I184" s="23"/>
      <c r="J184" s="23"/>
      <c r="K184" s="25"/>
      <c r="L184" s="23"/>
      <c r="M184" s="23"/>
      <c r="N184" s="25"/>
      <c r="O184" s="23"/>
      <c r="P184" s="23"/>
      <c r="Q184" s="25"/>
      <c r="R184" s="23"/>
      <c r="S184" s="23"/>
      <c r="T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</row>
    <row r="185" spans="2:49" x14ac:dyDescent="0.25">
      <c r="B185" s="23"/>
      <c r="C185" s="23"/>
      <c r="D185" s="23"/>
      <c r="E185" s="23"/>
      <c r="F185" s="23"/>
      <c r="G185" s="23"/>
      <c r="H185" s="57"/>
      <c r="I185" s="23"/>
      <c r="J185" s="23"/>
      <c r="K185" s="25"/>
      <c r="L185" s="23"/>
      <c r="M185" s="23"/>
      <c r="N185" s="25"/>
      <c r="O185" s="23"/>
      <c r="P185" s="23"/>
      <c r="Q185" s="25"/>
      <c r="R185" s="23"/>
      <c r="S185" s="23"/>
      <c r="T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</row>
    <row r="186" spans="2:49" x14ac:dyDescent="0.25">
      <c r="B186" s="23"/>
      <c r="C186" s="23"/>
      <c r="D186" s="23"/>
      <c r="E186" s="23"/>
      <c r="F186" s="23"/>
      <c r="G186" s="23"/>
      <c r="H186" s="57"/>
      <c r="I186" s="23"/>
      <c r="J186" s="23"/>
      <c r="K186" s="25"/>
      <c r="L186" s="23"/>
      <c r="M186" s="23"/>
      <c r="N186" s="25"/>
      <c r="O186" s="23"/>
      <c r="P186" s="23"/>
      <c r="Q186" s="25"/>
      <c r="R186" s="23"/>
      <c r="S186" s="23"/>
      <c r="T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</row>
    <row r="187" spans="2:49" x14ac:dyDescent="0.25">
      <c r="B187" s="23"/>
      <c r="C187" s="23"/>
      <c r="D187" s="23"/>
      <c r="E187" s="23"/>
      <c r="F187" s="23"/>
      <c r="G187" s="23"/>
      <c r="H187" s="57"/>
      <c r="I187" s="23"/>
      <c r="J187" s="23"/>
      <c r="K187" s="25"/>
      <c r="L187" s="23"/>
      <c r="M187" s="23"/>
      <c r="N187" s="25"/>
      <c r="O187" s="23"/>
      <c r="P187" s="23"/>
      <c r="Q187" s="25"/>
      <c r="R187" s="23"/>
      <c r="S187" s="23"/>
      <c r="T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</row>
    <row r="188" spans="2:49" x14ac:dyDescent="0.25">
      <c r="B188" s="23"/>
      <c r="C188" s="23"/>
      <c r="D188" s="23"/>
      <c r="E188" s="23"/>
      <c r="F188" s="23"/>
      <c r="G188" s="23"/>
      <c r="H188" s="57"/>
      <c r="I188" s="23"/>
      <c r="J188" s="23"/>
      <c r="K188" s="25"/>
      <c r="L188" s="23"/>
      <c r="M188" s="23"/>
      <c r="N188" s="25"/>
      <c r="O188" s="23"/>
      <c r="P188" s="23"/>
      <c r="Q188" s="25"/>
      <c r="R188" s="23"/>
      <c r="S188" s="23"/>
      <c r="T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</row>
    <row r="189" spans="2:49" x14ac:dyDescent="0.25">
      <c r="B189" s="23"/>
      <c r="C189" s="23"/>
      <c r="D189" s="23"/>
      <c r="E189" s="23"/>
      <c r="F189" s="23"/>
      <c r="G189" s="23"/>
      <c r="H189" s="57"/>
      <c r="I189" s="23"/>
      <c r="J189" s="23"/>
      <c r="K189" s="25"/>
      <c r="L189" s="23"/>
      <c r="M189" s="23"/>
      <c r="N189" s="25"/>
      <c r="O189" s="23"/>
      <c r="P189" s="23"/>
      <c r="Q189" s="25"/>
      <c r="R189" s="23"/>
      <c r="S189" s="23"/>
      <c r="T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</row>
    <row r="190" spans="2:49" x14ac:dyDescent="0.25">
      <c r="B190" s="23"/>
      <c r="C190" s="23"/>
      <c r="D190" s="23"/>
      <c r="E190" s="23"/>
      <c r="F190" s="23"/>
      <c r="G190" s="23"/>
      <c r="H190" s="57"/>
      <c r="I190" s="23"/>
      <c r="J190" s="23"/>
      <c r="K190" s="25"/>
      <c r="L190" s="23"/>
      <c r="M190" s="23"/>
      <c r="N190" s="25"/>
      <c r="O190" s="23"/>
      <c r="P190" s="23"/>
      <c r="Q190" s="25"/>
      <c r="R190" s="23"/>
      <c r="S190" s="23"/>
      <c r="T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</row>
    <row r="191" spans="2:49" x14ac:dyDescent="0.25">
      <c r="B191" s="23"/>
      <c r="C191" s="23"/>
      <c r="D191" s="23"/>
      <c r="E191" s="23"/>
      <c r="F191" s="23"/>
      <c r="G191" s="23"/>
      <c r="H191" s="57"/>
      <c r="I191" s="23"/>
      <c r="J191" s="23"/>
      <c r="K191" s="25"/>
      <c r="L191" s="23"/>
      <c r="M191" s="23"/>
      <c r="N191" s="25"/>
      <c r="O191" s="23"/>
      <c r="P191" s="23"/>
      <c r="Q191" s="25"/>
      <c r="R191" s="23"/>
      <c r="S191" s="23"/>
      <c r="T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</row>
    <row r="192" spans="2:49" x14ac:dyDescent="0.25">
      <c r="B192" s="23"/>
      <c r="C192" s="23"/>
      <c r="D192" s="23"/>
      <c r="E192" s="23"/>
      <c r="F192" s="23"/>
      <c r="G192" s="23"/>
      <c r="H192" s="57"/>
      <c r="I192" s="23"/>
      <c r="J192" s="23"/>
      <c r="K192" s="25"/>
      <c r="L192" s="23"/>
      <c r="M192" s="23"/>
      <c r="N192" s="25"/>
      <c r="O192" s="23"/>
      <c r="P192" s="23"/>
      <c r="Q192" s="25"/>
      <c r="R192" s="23"/>
      <c r="S192" s="23"/>
      <c r="T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</row>
    <row r="193" spans="2:49" x14ac:dyDescent="0.25">
      <c r="B193" s="23"/>
      <c r="C193" s="23"/>
      <c r="D193" s="23"/>
      <c r="E193" s="23"/>
      <c r="F193" s="23"/>
      <c r="G193" s="23"/>
      <c r="H193" s="57"/>
      <c r="I193" s="23"/>
      <c r="J193" s="23"/>
      <c r="K193" s="25"/>
      <c r="L193" s="23"/>
      <c r="M193" s="23"/>
      <c r="N193" s="25"/>
      <c r="O193" s="23"/>
      <c r="P193" s="23"/>
      <c r="Q193" s="25"/>
      <c r="R193" s="23"/>
      <c r="S193" s="23"/>
      <c r="T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</row>
    <row r="194" spans="2:49" x14ac:dyDescent="0.25">
      <c r="B194" s="23"/>
      <c r="C194" s="23"/>
      <c r="D194" s="23"/>
      <c r="E194" s="23"/>
      <c r="F194" s="23"/>
      <c r="G194" s="23"/>
      <c r="H194" s="57"/>
      <c r="I194" s="23"/>
      <c r="J194" s="23"/>
      <c r="K194" s="25"/>
      <c r="L194" s="23"/>
      <c r="M194" s="23"/>
      <c r="N194" s="25"/>
      <c r="O194" s="23"/>
      <c r="P194" s="23"/>
      <c r="Q194" s="25"/>
      <c r="R194" s="23"/>
      <c r="S194" s="23"/>
      <c r="T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</row>
    <row r="195" spans="2:49" x14ac:dyDescent="0.25">
      <c r="B195" s="23"/>
      <c r="C195" s="23"/>
      <c r="D195" s="23"/>
      <c r="E195" s="23"/>
      <c r="F195" s="23"/>
      <c r="G195" s="23"/>
      <c r="H195" s="57"/>
      <c r="I195" s="23"/>
      <c r="J195" s="23"/>
      <c r="K195" s="25"/>
      <c r="L195" s="23"/>
      <c r="M195" s="23"/>
      <c r="N195" s="25"/>
      <c r="O195" s="23"/>
      <c r="P195" s="23"/>
      <c r="Q195" s="25"/>
      <c r="R195" s="23"/>
      <c r="S195" s="23"/>
      <c r="T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</row>
    <row r="196" spans="2:49" x14ac:dyDescent="0.25">
      <c r="B196" s="23"/>
      <c r="C196" s="23"/>
      <c r="D196" s="23"/>
      <c r="E196" s="23"/>
      <c r="F196" s="23"/>
      <c r="G196" s="23"/>
      <c r="H196" s="57"/>
      <c r="I196" s="23"/>
      <c r="J196" s="23"/>
      <c r="K196" s="25"/>
      <c r="L196" s="23"/>
      <c r="M196" s="23"/>
      <c r="N196" s="25"/>
      <c r="O196" s="23"/>
      <c r="P196" s="23"/>
      <c r="Q196" s="25"/>
      <c r="R196" s="23"/>
      <c r="S196" s="23"/>
      <c r="T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</row>
    <row r="197" spans="2:49" x14ac:dyDescent="0.25">
      <c r="B197" s="23"/>
      <c r="C197" s="23"/>
      <c r="D197" s="23"/>
      <c r="E197" s="23"/>
      <c r="F197" s="23"/>
      <c r="G197" s="23"/>
      <c r="H197" s="57"/>
      <c r="I197" s="23"/>
      <c r="J197" s="23"/>
      <c r="K197" s="25"/>
      <c r="L197" s="23"/>
      <c r="M197" s="23"/>
      <c r="N197" s="25"/>
      <c r="O197" s="23"/>
      <c r="P197" s="23"/>
      <c r="Q197" s="25"/>
      <c r="R197" s="23"/>
      <c r="S197" s="23"/>
      <c r="T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</row>
    <row r="198" spans="2:49" x14ac:dyDescent="0.25">
      <c r="B198" s="23"/>
      <c r="C198" s="23"/>
      <c r="D198" s="23"/>
      <c r="E198" s="23"/>
      <c r="F198" s="23"/>
      <c r="G198" s="23"/>
      <c r="H198" s="57"/>
      <c r="I198" s="23"/>
      <c r="J198" s="23"/>
      <c r="K198" s="25"/>
      <c r="L198" s="23"/>
      <c r="M198" s="23"/>
      <c r="N198" s="25"/>
      <c r="O198" s="23"/>
      <c r="P198" s="23"/>
      <c r="Q198" s="25"/>
      <c r="R198" s="23"/>
      <c r="S198" s="23"/>
      <c r="T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</row>
    <row r="199" spans="2:49" x14ac:dyDescent="0.25">
      <c r="B199" s="23"/>
      <c r="C199" s="23"/>
      <c r="D199" s="23"/>
      <c r="E199" s="23"/>
      <c r="F199" s="23"/>
      <c r="G199" s="23"/>
      <c r="H199" s="57"/>
      <c r="I199" s="23"/>
      <c r="J199" s="23"/>
      <c r="K199" s="25"/>
      <c r="L199" s="23"/>
      <c r="M199" s="23"/>
      <c r="N199" s="25"/>
      <c r="O199" s="23"/>
      <c r="P199" s="23"/>
      <c r="Q199" s="25"/>
      <c r="R199" s="23"/>
      <c r="S199" s="23"/>
      <c r="T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</row>
    <row r="200" spans="2:49" x14ac:dyDescent="0.25">
      <c r="B200" s="23"/>
      <c r="C200" s="23"/>
      <c r="D200" s="23"/>
      <c r="E200" s="23"/>
      <c r="F200" s="23"/>
      <c r="G200" s="23"/>
      <c r="H200" s="57"/>
      <c r="I200" s="23"/>
      <c r="J200" s="23"/>
      <c r="K200" s="25"/>
      <c r="L200" s="23"/>
      <c r="M200" s="23"/>
      <c r="N200" s="25"/>
      <c r="O200" s="23"/>
      <c r="P200" s="23"/>
      <c r="Q200" s="25"/>
      <c r="R200" s="23"/>
      <c r="S200" s="23"/>
      <c r="T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</row>
    <row r="201" spans="2:49" x14ac:dyDescent="0.25">
      <c r="B201" s="23"/>
      <c r="C201" s="23"/>
      <c r="D201" s="23"/>
      <c r="E201" s="23"/>
      <c r="F201" s="23"/>
      <c r="G201" s="23"/>
      <c r="H201" s="57"/>
      <c r="I201" s="23"/>
      <c r="J201" s="23"/>
      <c r="K201" s="25"/>
      <c r="L201" s="23"/>
      <c r="M201" s="23"/>
      <c r="N201" s="25"/>
      <c r="O201" s="23"/>
      <c r="P201" s="23"/>
      <c r="Q201" s="25"/>
      <c r="R201" s="23"/>
      <c r="S201" s="23"/>
      <c r="T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</row>
    <row r="202" spans="2:49" x14ac:dyDescent="0.25">
      <c r="B202" s="23"/>
      <c r="C202" s="23"/>
      <c r="D202" s="23"/>
      <c r="E202" s="23"/>
      <c r="F202" s="23"/>
      <c r="G202" s="23"/>
      <c r="H202" s="57"/>
      <c r="I202" s="23"/>
      <c r="J202" s="23"/>
      <c r="K202" s="25"/>
      <c r="L202" s="23"/>
      <c r="M202" s="23"/>
      <c r="N202" s="25"/>
      <c r="O202" s="23"/>
      <c r="P202" s="23"/>
      <c r="Q202" s="25"/>
      <c r="R202" s="23"/>
      <c r="S202" s="23"/>
      <c r="T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</row>
    <row r="203" spans="2:49" x14ac:dyDescent="0.25">
      <c r="B203" s="23"/>
      <c r="C203" s="23"/>
      <c r="D203" s="23"/>
      <c r="E203" s="23"/>
      <c r="F203" s="23"/>
      <c r="G203" s="23"/>
      <c r="H203" s="57"/>
      <c r="I203" s="23"/>
      <c r="J203" s="23"/>
      <c r="K203" s="25"/>
      <c r="L203" s="23"/>
      <c r="M203" s="23"/>
      <c r="N203" s="25"/>
      <c r="O203" s="23"/>
      <c r="P203" s="23"/>
      <c r="Q203" s="25"/>
      <c r="R203" s="23"/>
      <c r="S203" s="23"/>
      <c r="T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</row>
    <row r="204" spans="2:49" x14ac:dyDescent="0.25">
      <c r="B204" s="23"/>
      <c r="C204" s="23"/>
      <c r="D204" s="23"/>
      <c r="E204" s="23"/>
      <c r="F204" s="23"/>
      <c r="G204" s="23"/>
      <c r="H204" s="57"/>
      <c r="I204" s="23"/>
      <c r="J204" s="23"/>
      <c r="K204" s="25"/>
      <c r="L204" s="23"/>
      <c r="M204" s="23"/>
      <c r="N204" s="25"/>
      <c r="O204" s="23"/>
      <c r="P204" s="23"/>
      <c r="Q204" s="25"/>
      <c r="R204" s="23"/>
      <c r="S204" s="23"/>
      <c r="T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</row>
    <row r="205" spans="2:49" x14ac:dyDescent="0.25">
      <c r="B205" s="23"/>
      <c r="C205" s="23"/>
      <c r="D205" s="23"/>
      <c r="E205" s="23"/>
      <c r="F205" s="23"/>
      <c r="G205" s="23"/>
      <c r="H205" s="57"/>
      <c r="I205" s="23"/>
      <c r="J205" s="23"/>
      <c r="K205" s="25"/>
      <c r="L205" s="23"/>
      <c r="M205" s="23"/>
      <c r="N205" s="25"/>
      <c r="O205" s="23"/>
      <c r="P205" s="23"/>
      <c r="Q205" s="25"/>
      <c r="R205" s="23"/>
      <c r="S205" s="23"/>
      <c r="T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</row>
    <row r="206" spans="2:49" x14ac:dyDescent="0.25">
      <c r="B206" s="23"/>
      <c r="C206" s="23"/>
      <c r="D206" s="23"/>
      <c r="E206" s="23"/>
      <c r="F206" s="23"/>
      <c r="G206" s="23"/>
      <c r="H206" s="57"/>
      <c r="I206" s="23"/>
      <c r="J206" s="23"/>
      <c r="K206" s="25"/>
      <c r="L206" s="23"/>
      <c r="M206" s="23"/>
      <c r="N206" s="25"/>
      <c r="O206" s="23"/>
      <c r="P206" s="23"/>
      <c r="Q206" s="25"/>
      <c r="R206" s="23"/>
      <c r="S206" s="23"/>
      <c r="T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</row>
    <row r="207" spans="2:49" x14ac:dyDescent="0.25">
      <c r="B207" s="23"/>
      <c r="C207" s="23"/>
      <c r="D207" s="23"/>
      <c r="E207" s="23"/>
      <c r="F207" s="23"/>
      <c r="G207" s="23"/>
      <c r="H207" s="57"/>
      <c r="I207" s="23"/>
      <c r="J207" s="23"/>
      <c r="K207" s="25"/>
      <c r="L207" s="23"/>
      <c r="M207" s="23"/>
      <c r="N207" s="25"/>
      <c r="O207" s="23"/>
      <c r="P207" s="23"/>
      <c r="Q207" s="25"/>
      <c r="R207" s="23"/>
      <c r="S207" s="23"/>
      <c r="T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</row>
    <row r="208" spans="2:49" x14ac:dyDescent="0.25">
      <c r="B208" s="23"/>
      <c r="C208" s="23"/>
      <c r="D208" s="23"/>
      <c r="E208" s="23"/>
      <c r="F208" s="23"/>
      <c r="G208" s="23"/>
      <c r="H208" s="57"/>
      <c r="I208" s="23"/>
      <c r="J208" s="23"/>
      <c r="K208" s="25"/>
      <c r="L208" s="23"/>
      <c r="M208" s="23"/>
      <c r="N208" s="25"/>
      <c r="O208" s="23"/>
      <c r="P208" s="23"/>
      <c r="Q208" s="25"/>
      <c r="R208" s="23"/>
      <c r="S208" s="23"/>
      <c r="T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</row>
    <row r="209" spans="2:49" x14ac:dyDescent="0.25">
      <c r="B209" s="23"/>
      <c r="C209" s="23"/>
      <c r="D209" s="23"/>
      <c r="E209" s="23"/>
      <c r="F209" s="23"/>
      <c r="G209" s="23"/>
      <c r="H209" s="57"/>
      <c r="I209" s="23"/>
      <c r="J209" s="23"/>
      <c r="K209" s="25"/>
      <c r="L209" s="23"/>
      <c r="M209" s="23"/>
      <c r="N209" s="25"/>
      <c r="O209" s="23"/>
      <c r="P209" s="23"/>
      <c r="Q209" s="25"/>
      <c r="R209" s="23"/>
      <c r="S209" s="23"/>
      <c r="T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</row>
    <row r="210" spans="2:49" x14ac:dyDescent="0.25">
      <c r="B210" s="23"/>
      <c r="C210" s="23"/>
      <c r="D210" s="23"/>
      <c r="E210" s="23"/>
      <c r="F210" s="23"/>
      <c r="G210" s="23"/>
      <c r="H210" s="57"/>
      <c r="I210" s="23"/>
      <c r="J210" s="23"/>
      <c r="K210" s="25"/>
      <c r="L210" s="23"/>
      <c r="M210" s="23"/>
      <c r="N210" s="25"/>
      <c r="O210" s="23"/>
      <c r="P210" s="23"/>
      <c r="Q210" s="25"/>
      <c r="R210" s="23"/>
      <c r="S210" s="23"/>
      <c r="T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</row>
    <row r="211" spans="2:49" x14ac:dyDescent="0.25">
      <c r="B211" s="23"/>
      <c r="C211" s="23"/>
      <c r="D211" s="23"/>
      <c r="E211" s="23"/>
      <c r="F211" s="23"/>
      <c r="G211" s="23"/>
      <c r="H211" s="57"/>
      <c r="I211" s="23"/>
      <c r="J211" s="23"/>
      <c r="K211" s="25"/>
      <c r="L211" s="23"/>
      <c r="M211" s="23"/>
      <c r="N211" s="25"/>
      <c r="O211" s="23"/>
      <c r="P211" s="23"/>
      <c r="Q211" s="25"/>
      <c r="R211" s="23"/>
      <c r="S211" s="23"/>
      <c r="T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</row>
    <row r="212" spans="2:49" x14ac:dyDescent="0.25">
      <c r="B212" s="23"/>
      <c r="C212" s="23"/>
      <c r="D212" s="23"/>
      <c r="E212" s="23"/>
      <c r="F212" s="23"/>
      <c r="G212" s="23"/>
      <c r="H212" s="57"/>
      <c r="I212" s="23"/>
      <c r="J212" s="23"/>
      <c r="K212" s="25"/>
      <c r="L212" s="23"/>
      <c r="M212" s="23"/>
      <c r="N212" s="25"/>
      <c r="O212" s="23"/>
      <c r="P212" s="23"/>
      <c r="Q212" s="25"/>
      <c r="R212" s="23"/>
      <c r="S212" s="23"/>
      <c r="T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</row>
    <row r="213" spans="2:49" x14ac:dyDescent="0.25">
      <c r="B213" s="23"/>
      <c r="C213" s="23"/>
      <c r="D213" s="23"/>
      <c r="E213" s="23"/>
      <c r="F213" s="23"/>
      <c r="G213" s="23"/>
      <c r="H213" s="57"/>
      <c r="I213" s="23"/>
      <c r="J213" s="23"/>
      <c r="K213" s="25"/>
      <c r="L213" s="23"/>
      <c r="M213" s="23"/>
      <c r="N213" s="25"/>
      <c r="O213" s="23"/>
      <c r="P213" s="23"/>
      <c r="Q213" s="25"/>
      <c r="R213" s="23"/>
      <c r="S213" s="23"/>
      <c r="T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</row>
    <row r="214" spans="2:49" x14ac:dyDescent="0.25">
      <c r="B214" s="23"/>
      <c r="C214" s="23"/>
      <c r="D214" s="23"/>
      <c r="E214" s="23"/>
      <c r="F214" s="23"/>
      <c r="G214" s="23"/>
      <c r="H214" s="57"/>
      <c r="I214" s="23"/>
      <c r="J214" s="23"/>
      <c r="K214" s="25"/>
      <c r="L214" s="23"/>
      <c r="M214" s="23"/>
      <c r="N214" s="25"/>
      <c r="O214" s="23"/>
      <c r="P214" s="23"/>
      <c r="Q214" s="25"/>
      <c r="R214" s="23"/>
      <c r="S214" s="23"/>
      <c r="T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</row>
    <row r="215" spans="2:49" x14ac:dyDescent="0.25">
      <c r="B215" s="23"/>
      <c r="C215" s="23"/>
      <c r="D215" s="23"/>
      <c r="E215" s="23"/>
      <c r="F215" s="23"/>
      <c r="G215" s="23"/>
      <c r="H215" s="57"/>
      <c r="I215" s="23"/>
      <c r="J215" s="23"/>
      <c r="K215" s="25"/>
      <c r="L215" s="23"/>
      <c r="M215" s="23"/>
      <c r="N215" s="25"/>
      <c r="O215" s="23"/>
      <c r="P215" s="23"/>
      <c r="Q215" s="25"/>
      <c r="R215" s="23"/>
      <c r="S215" s="23"/>
      <c r="T215" s="23"/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</row>
    <row r="216" spans="2:49" x14ac:dyDescent="0.25">
      <c r="B216" s="23"/>
      <c r="C216" s="23"/>
      <c r="D216" s="23"/>
      <c r="E216" s="23"/>
      <c r="F216" s="23"/>
      <c r="G216" s="23"/>
      <c r="H216" s="57"/>
      <c r="I216" s="23"/>
      <c r="J216" s="23"/>
      <c r="K216" s="25"/>
      <c r="L216" s="23"/>
      <c r="M216" s="23"/>
      <c r="N216" s="25"/>
      <c r="O216" s="23"/>
      <c r="P216" s="23"/>
      <c r="Q216" s="25"/>
      <c r="R216" s="23"/>
      <c r="S216" s="23"/>
      <c r="T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</row>
    <row r="217" spans="2:49" x14ac:dyDescent="0.25">
      <c r="B217" s="23"/>
      <c r="C217" s="23"/>
      <c r="D217" s="23"/>
      <c r="E217" s="23"/>
      <c r="F217" s="23"/>
      <c r="G217" s="23"/>
      <c r="H217" s="57"/>
      <c r="I217" s="23"/>
      <c r="J217" s="23"/>
      <c r="K217" s="25"/>
      <c r="L217" s="23"/>
      <c r="M217" s="23"/>
      <c r="N217" s="25"/>
      <c r="O217" s="23"/>
      <c r="P217" s="23"/>
      <c r="Q217" s="25"/>
      <c r="R217" s="23"/>
      <c r="S217" s="23"/>
      <c r="T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</row>
    <row r="218" spans="2:49" x14ac:dyDescent="0.25">
      <c r="B218" s="23"/>
      <c r="C218" s="23"/>
      <c r="D218" s="23"/>
      <c r="E218" s="23"/>
      <c r="F218" s="23"/>
      <c r="G218" s="23"/>
      <c r="H218" s="57"/>
      <c r="I218" s="23"/>
      <c r="J218" s="23"/>
      <c r="K218" s="25"/>
      <c r="L218" s="23"/>
      <c r="M218" s="23"/>
      <c r="N218" s="25"/>
      <c r="O218" s="23"/>
      <c r="P218" s="23"/>
      <c r="Q218" s="25"/>
      <c r="R218" s="23"/>
      <c r="S218" s="23"/>
      <c r="T218" s="23"/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  <c r="AU218" s="23"/>
      <c r="AV218" s="23"/>
      <c r="AW218" s="23"/>
    </row>
    <row r="219" spans="2:49" x14ac:dyDescent="0.25">
      <c r="B219" s="23"/>
      <c r="C219" s="23"/>
      <c r="D219" s="23"/>
      <c r="E219" s="23"/>
      <c r="F219" s="23"/>
      <c r="G219" s="23"/>
      <c r="H219" s="57"/>
      <c r="I219" s="23"/>
      <c r="J219" s="23"/>
      <c r="K219" s="25"/>
      <c r="L219" s="23"/>
      <c r="M219" s="23"/>
      <c r="N219" s="25"/>
      <c r="O219" s="23"/>
      <c r="P219" s="23"/>
      <c r="Q219" s="25"/>
      <c r="R219" s="23"/>
      <c r="S219" s="23"/>
      <c r="T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</row>
    <row r="220" spans="2:49" x14ac:dyDescent="0.25">
      <c r="B220" s="23"/>
      <c r="C220" s="23"/>
      <c r="D220" s="23"/>
      <c r="E220" s="23"/>
      <c r="F220" s="23"/>
      <c r="G220" s="23"/>
      <c r="H220" s="57"/>
      <c r="I220" s="23"/>
      <c r="J220" s="23"/>
      <c r="K220" s="25"/>
      <c r="L220" s="23"/>
      <c r="M220" s="23"/>
      <c r="N220" s="25"/>
      <c r="O220" s="23"/>
      <c r="P220" s="23"/>
      <c r="Q220" s="25"/>
      <c r="R220" s="23"/>
      <c r="S220" s="23"/>
      <c r="T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V220" s="23"/>
      <c r="AW220" s="23"/>
    </row>
    <row r="221" spans="2:49" x14ac:dyDescent="0.25">
      <c r="B221" s="23"/>
      <c r="C221" s="23"/>
      <c r="D221" s="23"/>
      <c r="E221" s="23"/>
      <c r="F221" s="23"/>
      <c r="G221" s="23"/>
      <c r="H221" s="57"/>
      <c r="I221" s="23"/>
      <c r="J221" s="23"/>
      <c r="K221" s="25"/>
      <c r="L221" s="23"/>
      <c r="M221" s="23"/>
      <c r="N221" s="25"/>
      <c r="O221" s="23"/>
      <c r="P221" s="23"/>
      <c r="Q221" s="25"/>
      <c r="R221" s="23"/>
      <c r="S221" s="23"/>
      <c r="T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  <c r="AS221" s="23"/>
      <c r="AT221" s="23"/>
      <c r="AU221" s="23"/>
      <c r="AV221" s="23"/>
      <c r="AW221" s="23"/>
    </row>
    <row r="222" spans="2:49" x14ac:dyDescent="0.25">
      <c r="B222" s="23"/>
      <c r="C222" s="23"/>
      <c r="D222" s="23"/>
      <c r="E222" s="23"/>
      <c r="F222" s="23"/>
      <c r="G222" s="23"/>
      <c r="H222" s="57"/>
      <c r="I222" s="23"/>
      <c r="J222" s="23"/>
      <c r="K222" s="25"/>
      <c r="L222" s="23"/>
      <c r="M222" s="23"/>
      <c r="N222" s="25"/>
      <c r="O222" s="23"/>
      <c r="P222" s="23"/>
      <c r="Q222" s="25"/>
      <c r="R222" s="23"/>
      <c r="S222" s="23"/>
      <c r="T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23"/>
      <c r="AW222" s="23"/>
    </row>
    <row r="223" spans="2:49" x14ac:dyDescent="0.25">
      <c r="B223" s="23"/>
      <c r="C223" s="23"/>
      <c r="D223" s="23"/>
      <c r="E223" s="23"/>
      <c r="F223" s="23"/>
      <c r="G223" s="23"/>
      <c r="H223" s="57"/>
      <c r="I223" s="23"/>
      <c r="J223" s="23"/>
      <c r="K223" s="25"/>
      <c r="L223" s="23"/>
      <c r="M223" s="23"/>
      <c r="N223" s="25"/>
      <c r="O223" s="23"/>
      <c r="P223" s="23"/>
      <c r="Q223" s="25"/>
      <c r="R223" s="23"/>
      <c r="S223" s="23"/>
      <c r="T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  <c r="AO223" s="23"/>
      <c r="AP223" s="23"/>
      <c r="AQ223" s="23"/>
      <c r="AR223" s="23"/>
      <c r="AS223" s="23"/>
      <c r="AT223" s="23"/>
      <c r="AU223" s="23"/>
      <c r="AV223" s="23"/>
      <c r="AW223" s="23"/>
    </row>
    <row r="224" spans="2:49" x14ac:dyDescent="0.25">
      <c r="B224" s="23"/>
      <c r="C224" s="23"/>
      <c r="D224" s="23"/>
      <c r="E224" s="23"/>
      <c r="F224" s="23"/>
      <c r="G224" s="23"/>
      <c r="H224" s="57"/>
      <c r="I224" s="23"/>
      <c r="J224" s="23"/>
      <c r="K224" s="25"/>
      <c r="L224" s="23"/>
      <c r="M224" s="23"/>
      <c r="N224" s="25"/>
      <c r="O224" s="23"/>
      <c r="P224" s="23"/>
      <c r="Q224" s="25"/>
      <c r="R224" s="23"/>
      <c r="S224" s="23"/>
      <c r="T224" s="23"/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  <c r="AO224" s="23"/>
      <c r="AP224" s="23"/>
      <c r="AQ224" s="23"/>
      <c r="AR224" s="23"/>
      <c r="AS224" s="23"/>
      <c r="AT224" s="23"/>
      <c r="AU224" s="23"/>
      <c r="AV224" s="23"/>
      <c r="AW224" s="23"/>
    </row>
    <row r="225" spans="2:49" x14ac:dyDescent="0.25">
      <c r="B225" s="23"/>
      <c r="C225" s="23"/>
      <c r="D225" s="23"/>
      <c r="E225" s="23"/>
      <c r="F225" s="23"/>
      <c r="G225" s="23"/>
      <c r="H225" s="57"/>
      <c r="I225" s="23"/>
      <c r="J225" s="23"/>
      <c r="K225" s="25"/>
      <c r="L225" s="23"/>
      <c r="M225" s="23"/>
      <c r="N225" s="25"/>
      <c r="O225" s="23"/>
      <c r="P225" s="23"/>
      <c r="Q225" s="25"/>
      <c r="R225" s="23"/>
      <c r="S225" s="23"/>
      <c r="T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</row>
    <row r="226" spans="2:49" x14ac:dyDescent="0.25">
      <c r="B226" s="23"/>
      <c r="C226" s="23"/>
      <c r="D226" s="23"/>
      <c r="E226" s="23"/>
      <c r="F226" s="23"/>
      <c r="G226" s="23"/>
      <c r="H226" s="57"/>
      <c r="I226" s="23"/>
      <c r="J226" s="23"/>
      <c r="K226" s="25"/>
      <c r="L226" s="23"/>
      <c r="M226" s="23"/>
      <c r="N226" s="25"/>
      <c r="O226" s="23"/>
      <c r="P226" s="23"/>
      <c r="Q226" s="25"/>
      <c r="R226" s="23"/>
      <c r="S226" s="23"/>
      <c r="T226" s="23"/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  <c r="AS226" s="23"/>
      <c r="AT226" s="23"/>
      <c r="AU226" s="23"/>
      <c r="AV226" s="23"/>
      <c r="AW226" s="23"/>
    </row>
    <row r="227" spans="2:49" x14ac:dyDescent="0.25">
      <c r="B227" s="23"/>
      <c r="C227" s="23"/>
      <c r="D227" s="23"/>
      <c r="E227" s="23"/>
      <c r="F227" s="23"/>
      <c r="G227" s="23"/>
      <c r="H227" s="57"/>
      <c r="I227" s="23"/>
      <c r="J227" s="23"/>
      <c r="K227" s="25"/>
      <c r="L227" s="23"/>
      <c r="M227" s="23"/>
      <c r="N227" s="25"/>
      <c r="O227" s="23"/>
      <c r="P227" s="23"/>
      <c r="Q227" s="25"/>
      <c r="R227" s="23"/>
      <c r="S227" s="23"/>
      <c r="T227" s="23"/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  <c r="AO227" s="23"/>
      <c r="AP227" s="23"/>
      <c r="AQ227" s="23"/>
      <c r="AR227" s="23"/>
      <c r="AS227" s="23"/>
      <c r="AT227" s="23"/>
      <c r="AU227" s="23"/>
      <c r="AV227" s="23"/>
      <c r="AW227" s="23"/>
    </row>
    <row r="228" spans="2:49" x14ac:dyDescent="0.25">
      <c r="B228" s="23"/>
      <c r="C228" s="23"/>
      <c r="D228" s="23"/>
      <c r="E228" s="23"/>
      <c r="F228" s="23"/>
      <c r="G228" s="23"/>
      <c r="H228" s="57"/>
      <c r="I228" s="23"/>
      <c r="J228" s="23"/>
      <c r="K228" s="25"/>
      <c r="L228" s="23"/>
      <c r="M228" s="23"/>
      <c r="N228" s="25"/>
      <c r="O228" s="23"/>
      <c r="P228" s="23"/>
      <c r="Q228" s="25"/>
      <c r="R228" s="23"/>
      <c r="S228" s="23"/>
      <c r="T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</row>
    <row r="229" spans="2:49" x14ac:dyDescent="0.25">
      <c r="B229" s="23"/>
      <c r="C229" s="23"/>
      <c r="D229" s="23"/>
      <c r="E229" s="23"/>
      <c r="F229" s="23"/>
      <c r="G229" s="23"/>
      <c r="H229" s="57"/>
      <c r="I229" s="23"/>
      <c r="J229" s="23"/>
      <c r="K229" s="25"/>
      <c r="L229" s="23"/>
      <c r="M229" s="23"/>
      <c r="N229" s="25"/>
      <c r="O229" s="23"/>
      <c r="P229" s="23"/>
      <c r="Q229" s="25"/>
      <c r="R229" s="23"/>
      <c r="S229" s="23"/>
      <c r="T229" s="23"/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23"/>
      <c r="AW229" s="23"/>
    </row>
    <row r="230" spans="2:49" x14ac:dyDescent="0.25">
      <c r="B230" s="23"/>
      <c r="C230" s="23"/>
      <c r="D230" s="23"/>
      <c r="E230" s="23"/>
      <c r="F230" s="23"/>
      <c r="G230" s="23"/>
      <c r="H230" s="57"/>
      <c r="I230" s="23"/>
      <c r="J230" s="23"/>
      <c r="K230" s="25"/>
      <c r="L230" s="23"/>
      <c r="M230" s="23"/>
      <c r="N230" s="25"/>
      <c r="O230" s="23"/>
      <c r="P230" s="23"/>
      <c r="Q230" s="25"/>
      <c r="R230" s="23"/>
      <c r="S230" s="23"/>
      <c r="T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</row>
    <row r="231" spans="2:49" x14ac:dyDescent="0.25">
      <c r="B231" s="23"/>
      <c r="C231" s="23"/>
      <c r="D231" s="23"/>
      <c r="E231" s="23"/>
      <c r="F231" s="23"/>
      <c r="G231" s="23"/>
      <c r="H231" s="57"/>
      <c r="I231" s="23"/>
      <c r="J231" s="23"/>
      <c r="K231" s="25"/>
      <c r="L231" s="23"/>
      <c r="M231" s="23"/>
      <c r="N231" s="25"/>
      <c r="O231" s="23"/>
      <c r="P231" s="23"/>
      <c r="Q231" s="25"/>
      <c r="R231" s="23"/>
      <c r="S231" s="23"/>
      <c r="T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  <c r="AS231" s="23"/>
      <c r="AT231" s="23"/>
      <c r="AU231" s="23"/>
      <c r="AV231" s="23"/>
      <c r="AW231" s="23"/>
    </row>
    <row r="232" spans="2:49" x14ac:dyDescent="0.25">
      <c r="B232" s="23"/>
      <c r="C232" s="23"/>
      <c r="D232" s="23"/>
      <c r="E232" s="23"/>
      <c r="F232" s="23"/>
      <c r="G232" s="23"/>
      <c r="H232" s="57"/>
      <c r="I232" s="23"/>
      <c r="J232" s="23"/>
      <c r="K232" s="25"/>
      <c r="L232" s="23"/>
      <c r="M232" s="23"/>
      <c r="N232" s="25"/>
      <c r="O232" s="23"/>
      <c r="P232" s="23"/>
      <c r="Q232" s="25"/>
      <c r="R232" s="23"/>
      <c r="S232" s="23"/>
      <c r="T232" s="23"/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  <c r="AO232" s="23"/>
      <c r="AP232" s="23"/>
      <c r="AQ232" s="23"/>
      <c r="AR232" s="23"/>
      <c r="AS232" s="23"/>
      <c r="AT232" s="23"/>
      <c r="AU232" s="23"/>
      <c r="AV232" s="23"/>
      <c r="AW232" s="23"/>
    </row>
    <row r="233" spans="2:49" x14ac:dyDescent="0.25">
      <c r="B233" s="23"/>
      <c r="C233" s="23"/>
      <c r="D233" s="23"/>
      <c r="E233" s="23"/>
      <c r="F233" s="23"/>
      <c r="G233" s="23"/>
      <c r="H233" s="57"/>
      <c r="I233" s="23"/>
      <c r="J233" s="23"/>
      <c r="K233" s="25"/>
      <c r="L233" s="23"/>
      <c r="M233" s="23"/>
      <c r="N233" s="25"/>
      <c r="O233" s="23"/>
      <c r="P233" s="23"/>
      <c r="Q233" s="25"/>
      <c r="R233" s="23"/>
      <c r="S233" s="23"/>
      <c r="T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23"/>
      <c r="AW233" s="23"/>
    </row>
    <row r="234" spans="2:49" x14ac:dyDescent="0.25">
      <c r="B234" s="23"/>
      <c r="C234" s="23"/>
      <c r="D234" s="23"/>
      <c r="E234" s="23"/>
      <c r="F234" s="23"/>
      <c r="G234" s="23"/>
      <c r="H234" s="57"/>
      <c r="I234" s="23"/>
      <c r="J234" s="23"/>
      <c r="K234" s="25"/>
      <c r="L234" s="23"/>
      <c r="M234" s="23"/>
      <c r="N234" s="25"/>
      <c r="O234" s="23"/>
      <c r="P234" s="23"/>
      <c r="Q234" s="25"/>
      <c r="R234" s="23"/>
      <c r="S234" s="23"/>
      <c r="T234" s="23"/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  <c r="AS234" s="23"/>
      <c r="AT234" s="23"/>
      <c r="AU234" s="23"/>
      <c r="AV234" s="23"/>
      <c r="AW234" s="23"/>
    </row>
    <row r="235" spans="2:49" x14ac:dyDescent="0.25">
      <c r="B235" s="23"/>
      <c r="C235" s="23"/>
      <c r="D235" s="23"/>
      <c r="E235" s="23"/>
      <c r="F235" s="23"/>
      <c r="G235" s="23"/>
      <c r="H235" s="57"/>
      <c r="I235" s="23"/>
      <c r="J235" s="23"/>
      <c r="K235" s="25"/>
      <c r="L235" s="23"/>
      <c r="M235" s="23"/>
      <c r="N235" s="25"/>
      <c r="O235" s="23"/>
      <c r="P235" s="23"/>
      <c r="Q235" s="25"/>
      <c r="R235" s="23"/>
      <c r="S235" s="23"/>
      <c r="T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23"/>
      <c r="AR235" s="23"/>
      <c r="AS235" s="23"/>
      <c r="AT235" s="23"/>
      <c r="AU235" s="23"/>
      <c r="AV235" s="23"/>
      <c r="AW235" s="23"/>
    </row>
    <row r="236" spans="2:49" x14ac:dyDescent="0.25">
      <c r="B236" s="23"/>
      <c r="C236" s="23"/>
      <c r="D236" s="23"/>
      <c r="E236" s="23"/>
      <c r="F236" s="23"/>
      <c r="G236" s="23"/>
      <c r="H236" s="57"/>
      <c r="I236" s="23"/>
      <c r="J236" s="23"/>
      <c r="K236" s="25"/>
      <c r="L236" s="23"/>
      <c r="M236" s="23"/>
      <c r="N236" s="25"/>
      <c r="O236" s="23"/>
      <c r="P236" s="23"/>
      <c r="Q236" s="25"/>
      <c r="R236" s="23"/>
      <c r="S236" s="23"/>
      <c r="T236" s="23"/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  <c r="AO236" s="23"/>
      <c r="AP236" s="23"/>
      <c r="AQ236" s="23"/>
      <c r="AR236" s="23"/>
      <c r="AS236" s="23"/>
      <c r="AT236" s="23"/>
      <c r="AU236" s="23"/>
      <c r="AV236" s="23"/>
      <c r="AW236" s="23"/>
    </row>
    <row r="237" spans="2:49" x14ac:dyDescent="0.25">
      <c r="B237" s="23"/>
      <c r="C237" s="23"/>
      <c r="D237" s="23"/>
      <c r="E237" s="23"/>
      <c r="F237" s="23"/>
      <c r="G237" s="23"/>
      <c r="H237" s="57"/>
      <c r="I237" s="23"/>
      <c r="J237" s="23"/>
      <c r="K237" s="25"/>
      <c r="L237" s="23"/>
      <c r="M237" s="23"/>
      <c r="N237" s="25"/>
      <c r="O237" s="23"/>
      <c r="P237" s="23"/>
      <c r="Q237" s="25"/>
      <c r="R237" s="23"/>
      <c r="S237" s="23"/>
      <c r="T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</row>
    <row r="238" spans="2:49" x14ac:dyDescent="0.25">
      <c r="B238" s="23"/>
      <c r="C238" s="23"/>
      <c r="D238" s="23"/>
      <c r="E238" s="23"/>
      <c r="F238" s="23"/>
      <c r="G238" s="23"/>
      <c r="H238" s="57"/>
      <c r="I238" s="23"/>
      <c r="J238" s="23"/>
      <c r="K238" s="25"/>
      <c r="L238" s="23"/>
      <c r="M238" s="23"/>
      <c r="N238" s="25"/>
      <c r="O238" s="23"/>
      <c r="P238" s="23"/>
      <c r="Q238" s="25"/>
      <c r="R238" s="23"/>
      <c r="S238" s="23"/>
      <c r="T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</row>
    <row r="239" spans="2:49" x14ac:dyDescent="0.25">
      <c r="B239" s="23"/>
      <c r="C239" s="23"/>
      <c r="D239" s="23"/>
      <c r="E239" s="23"/>
      <c r="F239" s="23"/>
      <c r="G239" s="23"/>
      <c r="H239" s="57"/>
      <c r="I239" s="23"/>
      <c r="J239" s="23"/>
      <c r="K239" s="25"/>
      <c r="L239" s="23"/>
      <c r="M239" s="23"/>
      <c r="N239" s="25"/>
      <c r="O239" s="23"/>
      <c r="P239" s="23"/>
      <c r="Q239" s="25"/>
      <c r="R239" s="23"/>
      <c r="S239" s="23"/>
      <c r="T239" s="23"/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  <c r="AO239" s="23"/>
      <c r="AP239" s="23"/>
      <c r="AQ239" s="23"/>
      <c r="AR239" s="23"/>
      <c r="AS239" s="23"/>
      <c r="AT239" s="23"/>
      <c r="AU239" s="23"/>
      <c r="AV239" s="23"/>
      <c r="AW239" s="23"/>
    </row>
    <row r="240" spans="2:49" x14ac:dyDescent="0.25">
      <c r="B240" s="23"/>
      <c r="C240" s="23"/>
      <c r="D240" s="23"/>
      <c r="E240" s="23"/>
      <c r="F240" s="23"/>
      <c r="G240" s="23"/>
      <c r="H240" s="57"/>
      <c r="I240" s="23"/>
      <c r="J240" s="23"/>
      <c r="K240" s="25"/>
      <c r="L240" s="23"/>
      <c r="M240" s="23"/>
      <c r="N240" s="25"/>
      <c r="O240" s="23"/>
      <c r="P240" s="23"/>
      <c r="Q240" s="25"/>
      <c r="R240" s="23"/>
      <c r="S240" s="23"/>
      <c r="T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</row>
    <row r="241" spans="2:49" x14ac:dyDescent="0.25">
      <c r="B241" s="23"/>
      <c r="C241" s="23"/>
      <c r="D241" s="23"/>
      <c r="E241" s="23"/>
      <c r="F241" s="23"/>
      <c r="G241" s="23"/>
      <c r="H241" s="57"/>
      <c r="I241" s="23"/>
      <c r="J241" s="23"/>
      <c r="K241" s="25"/>
      <c r="L241" s="23"/>
      <c r="M241" s="23"/>
      <c r="N241" s="25"/>
      <c r="O241" s="23"/>
      <c r="P241" s="23"/>
      <c r="Q241" s="25"/>
      <c r="R241" s="23"/>
      <c r="S241" s="23"/>
      <c r="T241" s="23"/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  <c r="AO241" s="23"/>
      <c r="AP241" s="23"/>
      <c r="AQ241" s="23"/>
      <c r="AR241" s="23"/>
      <c r="AS241" s="23"/>
      <c r="AT241" s="23"/>
      <c r="AU241" s="23"/>
      <c r="AV241" s="23"/>
      <c r="AW241" s="23"/>
    </row>
    <row r="242" spans="2:49" x14ac:dyDescent="0.25">
      <c r="B242" s="23"/>
      <c r="C242" s="23"/>
      <c r="D242" s="23"/>
      <c r="E242" s="23"/>
      <c r="F242" s="23"/>
      <c r="G242" s="23"/>
      <c r="H242" s="57"/>
      <c r="I242" s="23"/>
      <c r="J242" s="23"/>
      <c r="K242" s="25"/>
      <c r="L242" s="23"/>
      <c r="M242" s="23"/>
      <c r="N242" s="25"/>
      <c r="O242" s="23"/>
      <c r="P242" s="23"/>
      <c r="Q242" s="25"/>
      <c r="R242" s="23"/>
      <c r="S242" s="23"/>
      <c r="T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23"/>
      <c r="AR242" s="23"/>
      <c r="AS242" s="23"/>
      <c r="AT242" s="23"/>
      <c r="AU242" s="23"/>
      <c r="AV242" s="23"/>
      <c r="AW242" s="23"/>
    </row>
    <row r="243" spans="2:49" x14ac:dyDescent="0.25">
      <c r="B243" s="23"/>
      <c r="C243" s="23"/>
      <c r="D243" s="23"/>
      <c r="E243" s="23"/>
      <c r="F243" s="23"/>
      <c r="G243" s="23"/>
      <c r="H243" s="57"/>
      <c r="I243" s="23"/>
      <c r="J243" s="23"/>
      <c r="K243" s="25"/>
      <c r="L243" s="23"/>
      <c r="M243" s="23"/>
      <c r="N243" s="25"/>
      <c r="O243" s="23"/>
      <c r="P243" s="23"/>
      <c r="Q243" s="25"/>
      <c r="R243" s="23"/>
      <c r="S243" s="23"/>
      <c r="T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23"/>
      <c r="AW243" s="23"/>
    </row>
    <row r="244" spans="2:49" x14ac:dyDescent="0.25">
      <c r="B244" s="23"/>
      <c r="C244" s="23"/>
      <c r="D244" s="23"/>
      <c r="E244" s="23"/>
      <c r="F244" s="23"/>
      <c r="G244" s="23"/>
      <c r="H244" s="57"/>
      <c r="I244" s="23"/>
      <c r="J244" s="23"/>
      <c r="K244" s="25"/>
      <c r="L244" s="23"/>
      <c r="M244" s="23"/>
      <c r="N244" s="25"/>
      <c r="O244" s="23"/>
      <c r="P244" s="23"/>
      <c r="Q244" s="25"/>
      <c r="R244" s="23"/>
      <c r="S244" s="23"/>
      <c r="T244" s="23"/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  <c r="AO244" s="23"/>
      <c r="AP244" s="23"/>
      <c r="AQ244" s="23"/>
      <c r="AR244" s="23"/>
      <c r="AS244" s="23"/>
      <c r="AT244" s="23"/>
      <c r="AU244" s="23"/>
      <c r="AV244" s="23"/>
      <c r="AW244" s="23"/>
    </row>
    <row r="245" spans="2:49" x14ac:dyDescent="0.25">
      <c r="B245" s="23"/>
      <c r="C245" s="23"/>
      <c r="D245" s="23"/>
      <c r="E245" s="23"/>
      <c r="F245" s="23"/>
      <c r="G245" s="23"/>
      <c r="H245" s="57"/>
      <c r="I245" s="23"/>
      <c r="J245" s="23"/>
      <c r="K245" s="25"/>
      <c r="L245" s="23"/>
      <c r="M245" s="23"/>
      <c r="N245" s="25"/>
      <c r="O245" s="23"/>
      <c r="P245" s="23"/>
      <c r="Q245" s="25"/>
      <c r="R245" s="23"/>
      <c r="S245" s="23"/>
      <c r="T245" s="23"/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  <c r="AO245" s="23"/>
      <c r="AP245" s="23"/>
      <c r="AQ245" s="23"/>
      <c r="AR245" s="23"/>
      <c r="AS245" s="23"/>
      <c r="AT245" s="23"/>
      <c r="AU245" s="23"/>
      <c r="AV245" s="23"/>
      <c r="AW245" s="23"/>
    </row>
    <row r="246" spans="2:49" x14ac:dyDescent="0.25">
      <c r="B246" s="23"/>
      <c r="C246" s="23"/>
      <c r="D246" s="23"/>
      <c r="E246" s="23"/>
      <c r="F246" s="23"/>
      <c r="G246" s="23"/>
      <c r="H246" s="57"/>
      <c r="I246" s="23"/>
      <c r="J246" s="23"/>
      <c r="K246" s="25"/>
      <c r="L246" s="23"/>
      <c r="M246" s="23"/>
      <c r="N246" s="25"/>
      <c r="O246" s="23"/>
      <c r="P246" s="23"/>
      <c r="Q246" s="25"/>
      <c r="R246" s="23"/>
      <c r="S246" s="23"/>
      <c r="T246" s="23"/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  <c r="AO246" s="23"/>
      <c r="AP246" s="23"/>
      <c r="AQ246" s="23"/>
      <c r="AR246" s="23"/>
      <c r="AS246" s="23"/>
      <c r="AT246" s="23"/>
      <c r="AU246" s="23"/>
      <c r="AV246" s="23"/>
      <c r="AW246" s="23"/>
    </row>
    <row r="247" spans="2:49" x14ac:dyDescent="0.25">
      <c r="B247" s="23"/>
      <c r="C247" s="23"/>
      <c r="D247" s="23"/>
      <c r="E247" s="23"/>
      <c r="F247" s="23"/>
      <c r="G247" s="23"/>
      <c r="H247" s="57"/>
      <c r="I247" s="23"/>
      <c r="J247" s="23"/>
      <c r="K247" s="25"/>
      <c r="L247" s="23"/>
      <c r="M247" s="23"/>
      <c r="N247" s="25"/>
      <c r="O247" s="23"/>
      <c r="P247" s="23"/>
      <c r="Q247" s="25"/>
      <c r="R247" s="23"/>
      <c r="S247" s="23"/>
      <c r="T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23"/>
      <c r="AW247" s="23"/>
    </row>
    <row r="248" spans="2:49" x14ac:dyDescent="0.25">
      <c r="B248" s="23"/>
      <c r="C248" s="23"/>
      <c r="D248" s="23"/>
      <c r="E248" s="23"/>
      <c r="F248" s="23"/>
      <c r="G248" s="23"/>
      <c r="H248" s="57"/>
      <c r="I248" s="23"/>
      <c r="J248" s="23"/>
      <c r="K248" s="25"/>
      <c r="L248" s="23"/>
      <c r="M248" s="23"/>
      <c r="N248" s="25"/>
      <c r="O248" s="23"/>
      <c r="P248" s="23"/>
      <c r="Q248" s="25"/>
      <c r="R248" s="23"/>
      <c r="S248" s="23"/>
      <c r="T248" s="23"/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  <c r="AO248" s="23"/>
      <c r="AP248" s="23"/>
      <c r="AQ248" s="23"/>
      <c r="AR248" s="23"/>
      <c r="AS248" s="23"/>
      <c r="AT248" s="23"/>
      <c r="AU248" s="23"/>
      <c r="AV248" s="23"/>
      <c r="AW248" s="23"/>
    </row>
    <row r="249" spans="2:49" x14ac:dyDescent="0.25">
      <c r="B249" s="23"/>
      <c r="C249" s="23"/>
      <c r="D249" s="23"/>
      <c r="E249" s="23"/>
      <c r="F249" s="23"/>
      <c r="G249" s="23"/>
      <c r="H249" s="57"/>
      <c r="I249" s="23"/>
      <c r="J249" s="23"/>
      <c r="K249" s="25"/>
      <c r="L249" s="23"/>
      <c r="M249" s="23"/>
      <c r="N249" s="25"/>
      <c r="O249" s="23"/>
      <c r="P249" s="23"/>
      <c r="Q249" s="25"/>
      <c r="R249" s="23"/>
      <c r="S249" s="23"/>
      <c r="T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23"/>
      <c r="AR249" s="23"/>
      <c r="AS249" s="23"/>
      <c r="AT249" s="23"/>
      <c r="AU249" s="23"/>
      <c r="AV249" s="23"/>
      <c r="AW249" s="23"/>
    </row>
    <row r="250" spans="2:49" x14ac:dyDescent="0.25">
      <c r="B250" s="23"/>
      <c r="C250" s="23"/>
      <c r="D250" s="23"/>
      <c r="E250" s="23"/>
      <c r="F250" s="23"/>
      <c r="G250" s="23"/>
      <c r="H250" s="57"/>
      <c r="I250" s="23"/>
      <c r="J250" s="23"/>
      <c r="K250" s="25"/>
      <c r="L250" s="23"/>
      <c r="M250" s="23"/>
      <c r="N250" s="25"/>
      <c r="O250" s="23"/>
      <c r="P250" s="23"/>
      <c r="Q250" s="25"/>
      <c r="R250" s="23"/>
      <c r="S250" s="23"/>
      <c r="T250" s="23"/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23"/>
      <c r="AW250" s="23"/>
    </row>
    <row r="251" spans="2:49" x14ac:dyDescent="0.25">
      <c r="B251" s="23"/>
      <c r="C251" s="23"/>
      <c r="D251" s="23"/>
      <c r="E251" s="23"/>
      <c r="F251" s="23"/>
      <c r="G251" s="23"/>
      <c r="H251" s="57"/>
      <c r="I251" s="23"/>
      <c r="J251" s="23"/>
      <c r="K251" s="25"/>
      <c r="L251" s="23"/>
      <c r="M251" s="23"/>
      <c r="N251" s="25"/>
      <c r="O251" s="23"/>
      <c r="P251" s="23"/>
      <c r="Q251" s="25"/>
      <c r="R251" s="23"/>
      <c r="S251" s="23"/>
      <c r="T251" s="23"/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  <c r="AO251" s="23"/>
      <c r="AP251" s="23"/>
      <c r="AQ251" s="23"/>
      <c r="AR251" s="23"/>
      <c r="AS251" s="23"/>
      <c r="AT251" s="23"/>
      <c r="AU251" s="23"/>
      <c r="AV251" s="23"/>
      <c r="AW251" s="23"/>
    </row>
    <row r="252" spans="2:49" x14ac:dyDescent="0.25">
      <c r="B252" s="23"/>
      <c r="C252" s="23"/>
      <c r="D252" s="23"/>
      <c r="E252" s="23"/>
      <c r="F252" s="23"/>
      <c r="G252" s="23"/>
      <c r="H252" s="57"/>
      <c r="I252" s="23"/>
      <c r="J252" s="23"/>
      <c r="K252" s="25"/>
      <c r="L252" s="23"/>
      <c r="M252" s="23"/>
      <c r="N252" s="25"/>
      <c r="O252" s="23"/>
      <c r="P252" s="23"/>
      <c r="Q252" s="25"/>
      <c r="R252" s="23"/>
      <c r="S252" s="23"/>
      <c r="T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23"/>
      <c r="AW252" s="23"/>
    </row>
    <row r="253" spans="2:49" x14ac:dyDescent="0.25">
      <c r="B253" s="23"/>
      <c r="C253" s="23"/>
      <c r="D253" s="23"/>
      <c r="E253" s="23"/>
      <c r="F253" s="23"/>
      <c r="G253" s="23"/>
      <c r="H253" s="57"/>
      <c r="I253" s="23"/>
      <c r="J253" s="23"/>
      <c r="K253" s="25"/>
      <c r="L253" s="23"/>
      <c r="M253" s="23"/>
      <c r="N253" s="25"/>
      <c r="O253" s="23"/>
      <c r="P253" s="23"/>
      <c r="Q253" s="25"/>
      <c r="R253" s="23"/>
      <c r="S253" s="23"/>
      <c r="T253" s="23"/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</row>
    <row r="254" spans="2:49" x14ac:dyDescent="0.25">
      <c r="B254" s="23"/>
      <c r="C254" s="23"/>
      <c r="D254" s="23"/>
      <c r="E254" s="23"/>
      <c r="F254" s="23"/>
      <c r="G254" s="23"/>
      <c r="H254" s="57"/>
      <c r="I254" s="23"/>
      <c r="J254" s="23"/>
      <c r="K254" s="25"/>
      <c r="L254" s="23"/>
      <c r="M254" s="23"/>
      <c r="N254" s="25"/>
      <c r="O254" s="23"/>
      <c r="P254" s="23"/>
      <c r="Q254" s="25"/>
      <c r="R254" s="23"/>
      <c r="S254" s="23"/>
      <c r="T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</row>
    <row r="255" spans="2:49" x14ac:dyDescent="0.25">
      <c r="B255" s="23"/>
      <c r="C255" s="23"/>
      <c r="D255" s="23"/>
      <c r="E255" s="23"/>
      <c r="F255" s="23"/>
      <c r="G255" s="23"/>
      <c r="H255" s="57"/>
      <c r="I255" s="23"/>
      <c r="J255" s="23"/>
      <c r="K255" s="25"/>
      <c r="L255" s="23"/>
      <c r="M255" s="23"/>
      <c r="N255" s="25"/>
      <c r="O255" s="23"/>
      <c r="P255" s="23"/>
      <c r="Q255" s="25"/>
      <c r="R255" s="23"/>
      <c r="S255" s="23"/>
      <c r="T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23"/>
      <c r="AR255" s="23"/>
      <c r="AS255" s="23"/>
      <c r="AT255" s="23"/>
      <c r="AU255" s="23"/>
      <c r="AV255" s="23"/>
      <c r="AW255" s="23"/>
    </row>
    <row r="256" spans="2:49" x14ac:dyDescent="0.25">
      <c r="B256" s="23"/>
      <c r="C256" s="23"/>
      <c r="D256" s="23"/>
      <c r="E256" s="23"/>
      <c r="F256" s="23"/>
      <c r="G256" s="23"/>
      <c r="H256" s="57"/>
      <c r="I256" s="23"/>
      <c r="J256" s="23"/>
      <c r="K256" s="25"/>
      <c r="L256" s="23"/>
      <c r="M256" s="23"/>
      <c r="N256" s="25"/>
      <c r="O256" s="23"/>
      <c r="P256" s="23"/>
      <c r="Q256" s="25"/>
      <c r="R256" s="23"/>
      <c r="S256" s="23"/>
      <c r="T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  <c r="AS256" s="23"/>
      <c r="AT256" s="23"/>
      <c r="AU256" s="23"/>
      <c r="AV256" s="23"/>
      <c r="AW256" s="23"/>
    </row>
    <row r="257" spans="2:49" x14ac:dyDescent="0.25">
      <c r="B257" s="23"/>
      <c r="C257" s="23"/>
      <c r="D257" s="23"/>
      <c r="E257" s="23"/>
      <c r="F257" s="23"/>
      <c r="G257" s="23"/>
      <c r="H257" s="57"/>
      <c r="I257" s="23"/>
      <c r="J257" s="23"/>
      <c r="K257" s="25"/>
      <c r="L257" s="23"/>
      <c r="M257" s="23"/>
      <c r="N257" s="25"/>
      <c r="O257" s="23"/>
      <c r="P257" s="23"/>
      <c r="Q257" s="25"/>
      <c r="R257" s="23"/>
      <c r="S257" s="23"/>
      <c r="T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23"/>
      <c r="AW257" s="23"/>
    </row>
    <row r="258" spans="2:49" x14ac:dyDescent="0.25">
      <c r="B258" s="23"/>
      <c r="C258" s="23"/>
      <c r="D258" s="23"/>
      <c r="E258" s="23"/>
      <c r="F258" s="23"/>
      <c r="G258" s="23"/>
      <c r="H258" s="57"/>
      <c r="I258" s="23"/>
      <c r="J258" s="23"/>
      <c r="K258" s="25"/>
      <c r="L258" s="23"/>
      <c r="M258" s="23"/>
      <c r="N258" s="25"/>
      <c r="O258" s="23"/>
      <c r="P258" s="23"/>
      <c r="Q258" s="25"/>
      <c r="R258" s="23"/>
      <c r="S258" s="23"/>
      <c r="T258" s="23"/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  <c r="AM258" s="23"/>
      <c r="AN258" s="23"/>
      <c r="AO258" s="23"/>
      <c r="AP258" s="23"/>
      <c r="AQ258" s="23"/>
      <c r="AR258" s="23"/>
      <c r="AS258" s="23"/>
      <c r="AT258" s="23"/>
      <c r="AU258" s="23"/>
      <c r="AV258" s="23"/>
      <c r="AW258" s="23"/>
    </row>
    <row r="259" spans="2:49" x14ac:dyDescent="0.25">
      <c r="B259" s="23"/>
      <c r="C259" s="23"/>
      <c r="D259" s="23"/>
      <c r="E259" s="23"/>
      <c r="F259" s="23"/>
      <c r="G259" s="23"/>
      <c r="H259" s="57"/>
      <c r="I259" s="23"/>
      <c r="J259" s="23"/>
      <c r="K259" s="25"/>
      <c r="L259" s="23"/>
      <c r="M259" s="23"/>
      <c r="N259" s="25"/>
      <c r="O259" s="23"/>
      <c r="P259" s="23"/>
      <c r="Q259" s="25"/>
      <c r="R259" s="23"/>
      <c r="S259" s="23"/>
      <c r="T259" s="23"/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  <c r="AM259" s="23"/>
      <c r="AN259" s="23"/>
      <c r="AO259" s="23"/>
      <c r="AP259" s="23"/>
      <c r="AQ259" s="23"/>
      <c r="AR259" s="23"/>
      <c r="AS259" s="23"/>
      <c r="AT259" s="23"/>
      <c r="AU259" s="23"/>
      <c r="AV259" s="23"/>
      <c r="AW259" s="23"/>
    </row>
    <row r="260" spans="2:49" x14ac:dyDescent="0.25">
      <c r="B260" s="23"/>
      <c r="C260" s="23"/>
      <c r="D260" s="23"/>
      <c r="E260" s="23"/>
      <c r="F260" s="23"/>
      <c r="G260" s="23"/>
      <c r="H260" s="57"/>
      <c r="I260" s="23"/>
      <c r="J260" s="23"/>
      <c r="K260" s="25"/>
      <c r="L260" s="23"/>
      <c r="M260" s="23"/>
      <c r="N260" s="25"/>
      <c r="O260" s="23"/>
      <c r="P260" s="23"/>
      <c r="Q260" s="25"/>
      <c r="R260" s="23"/>
      <c r="S260" s="23"/>
      <c r="T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23"/>
      <c r="AR260" s="23"/>
      <c r="AS260" s="23"/>
      <c r="AT260" s="23"/>
      <c r="AU260" s="23"/>
      <c r="AV260" s="23"/>
      <c r="AW260" s="23"/>
    </row>
    <row r="261" spans="2:49" x14ac:dyDescent="0.25">
      <c r="B261" s="23"/>
      <c r="C261" s="23"/>
      <c r="D261" s="23"/>
      <c r="E261" s="23"/>
      <c r="F261" s="23"/>
      <c r="G261" s="23"/>
      <c r="H261" s="57"/>
      <c r="I261" s="23"/>
      <c r="J261" s="23"/>
      <c r="K261" s="25"/>
      <c r="L261" s="23"/>
      <c r="M261" s="23"/>
      <c r="N261" s="25"/>
      <c r="O261" s="23"/>
      <c r="P261" s="23"/>
      <c r="Q261" s="25"/>
      <c r="R261" s="23"/>
      <c r="S261" s="23"/>
      <c r="T261" s="23"/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  <c r="AO261" s="23"/>
      <c r="AP261" s="23"/>
      <c r="AQ261" s="23"/>
      <c r="AR261" s="23"/>
      <c r="AS261" s="23"/>
      <c r="AT261" s="23"/>
      <c r="AU261" s="23"/>
      <c r="AV261" s="23"/>
      <c r="AW261" s="23"/>
    </row>
    <row r="262" spans="2:49" x14ac:dyDescent="0.25">
      <c r="B262" s="23"/>
      <c r="C262" s="23"/>
      <c r="D262" s="23"/>
      <c r="E262" s="23"/>
      <c r="F262" s="23"/>
      <c r="G262" s="23"/>
      <c r="H262" s="57"/>
      <c r="I262" s="23"/>
      <c r="J262" s="23"/>
      <c r="K262" s="25"/>
      <c r="L262" s="23"/>
      <c r="M262" s="23"/>
      <c r="N262" s="25"/>
      <c r="O262" s="23"/>
      <c r="P262" s="23"/>
      <c r="Q262" s="25"/>
      <c r="R262" s="23"/>
      <c r="S262" s="23"/>
      <c r="T262" s="23"/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  <c r="AO262" s="23"/>
      <c r="AP262" s="23"/>
      <c r="AQ262" s="23"/>
      <c r="AR262" s="23"/>
      <c r="AS262" s="23"/>
      <c r="AT262" s="23"/>
      <c r="AU262" s="23"/>
      <c r="AV262" s="23"/>
      <c r="AW262" s="23"/>
    </row>
    <row r="263" spans="2:49" x14ac:dyDescent="0.25">
      <c r="B263" s="23"/>
      <c r="C263" s="23"/>
      <c r="D263" s="23"/>
      <c r="E263" s="23"/>
      <c r="F263" s="23"/>
      <c r="G263" s="23"/>
      <c r="H263" s="57"/>
      <c r="I263" s="23"/>
      <c r="J263" s="23"/>
      <c r="K263" s="25"/>
      <c r="L263" s="23"/>
      <c r="M263" s="23"/>
      <c r="N263" s="25"/>
      <c r="O263" s="23"/>
      <c r="P263" s="23"/>
      <c r="Q263" s="25"/>
      <c r="R263" s="23"/>
      <c r="S263" s="23"/>
      <c r="T263" s="23"/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23"/>
      <c r="AR263" s="23"/>
      <c r="AS263" s="23"/>
      <c r="AT263" s="23"/>
      <c r="AU263" s="23"/>
      <c r="AV263" s="23"/>
      <c r="AW263" s="23"/>
    </row>
    <row r="264" spans="2:49" x14ac:dyDescent="0.25">
      <c r="B264" s="23"/>
      <c r="C264" s="23"/>
      <c r="D264" s="23"/>
      <c r="E264" s="23"/>
      <c r="F264" s="23"/>
      <c r="G264" s="23"/>
      <c r="H264" s="57"/>
      <c r="I264" s="23"/>
      <c r="J264" s="23"/>
      <c r="K264" s="25"/>
      <c r="L264" s="23"/>
      <c r="M264" s="23"/>
      <c r="N264" s="25"/>
      <c r="O264" s="23"/>
      <c r="P264" s="23"/>
      <c r="Q264" s="25"/>
      <c r="R264" s="23"/>
      <c r="S264" s="23"/>
      <c r="T264" s="23"/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  <c r="AM264" s="23"/>
      <c r="AN264" s="23"/>
      <c r="AO264" s="23"/>
      <c r="AP264" s="23"/>
      <c r="AQ264" s="23"/>
      <c r="AR264" s="23"/>
      <c r="AS264" s="23"/>
      <c r="AT264" s="23"/>
      <c r="AU264" s="23"/>
      <c r="AV264" s="23"/>
      <c r="AW264" s="23"/>
    </row>
    <row r="265" spans="2:49" x14ac:dyDescent="0.25">
      <c r="B265" s="23"/>
      <c r="C265" s="23"/>
      <c r="D265" s="23"/>
      <c r="E265" s="23"/>
      <c r="F265" s="23"/>
      <c r="G265" s="23"/>
      <c r="H265" s="57"/>
      <c r="I265" s="23"/>
      <c r="J265" s="23"/>
      <c r="K265" s="25"/>
      <c r="L265" s="23"/>
      <c r="M265" s="23"/>
      <c r="N265" s="25"/>
      <c r="O265" s="23"/>
      <c r="P265" s="23"/>
      <c r="Q265" s="25"/>
      <c r="R265" s="23"/>
      <c r="S265" s="23"/>
      <c r="T265" s="23"/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  <c r="AM265" s="23"/>
      <c r="AN265" s="23"/>
      <c r="AO265" s="23"/>
      <c r="AP265" s="23"/>
      <c r="AQ265" s="23"/>
      <c r="AR265" s="23"/>
      <c r="AS265" s="23"/>
      <c r="AT265" s="23"/>
      <c r="AU265" s="23"/>
      <c r="AV265" s="23"/>
      <c r="AW265" s="23"/>
    </row>
    <row r="266" spans="2:49" x14ac:dyDescent="0.25">
      <c r="B266" s="23"/>
      <c r="C266" s="23"/>
      <c r="D266" s="23"/>
      <c r="E266" s="23"/>
      <c r="F266" s="23"/>
      <c r="G266" s="23"/>
      <c r="H266" s="57"/>
      <c r="I266" s="23"/>
      <c r="J266" s="23"/>
      <c r="K266" s="25"/>
      <c r="L266" s="23"/>
      <c r="M266" s="23"/>
      <c r="N266" s="25"/>
      <c r="O266" s="23"/>
      <c r="P266" s="23"/>
      <c r="Q266" s="25"/>
      <c r="R266" s="23"/>
      <c r="S266" s="23"/>
      <c r="T266" s="23"/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  <c r="AS266" s="23"/>
      <c r="AT266" s="23"/>
      <c r="AU266" s="23"/>
      <c r="AV266" s="23"/>
      <c r="AW266" s="23"/>
    </row>
    <row r="267" spans="2:49" x14ac:dyDescent="0.25">
      <c r="B267" s="23"/>
      <c r="C267" s="23"/>
      <c r="D267" s="23"/>
      <c r="E267" s="23"/>
      <c r="F267" s="23"/>
      <c r="G267" s="23"/>
      <c r="H267" s="57"/>
      <c r="I267" s="23"/>
      <c r="J267" s="23"/>
      <c r="K267" s="25"/>
      <c r="L267" s="23"/>
      <c r="M267" s="23"/>
      <c r="N267" s="25"/>
      <c r="O267" s="23"/>
      <c r="P267" s="23"/>
      <c r="Q267" s="25"/>
      <c r="R267" s="23"/>
      <c r="S267" s="23"/>
      <c r="T267" s="23"/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  <c r="AM267" s="23"/>
      <c r="AN267" s="23"/>
      <c r="AO267" s="23"/>
      <c r="AP267" s="23"/>
      <c r="AQ267" s="23"/>
      <c r="AR267" s="23"/>
      <c r="AS267" s="23"/>
      <c r="AT267" s="23"/>
      <c r="AU267" s="23"/>
      <c r="AV267" s="23"/>
      <c r="AW267" s="23"/>
    </row>
    <row r="268" spans="2:49" x14ac:dyDescent="0.25">
      <c r="B268" s="23"/>
      <c r="C268" s="23"/>
      <c r="D268" s="23"/>
      <c r="E268" s="23"/>
      <c r="F268" s="23"/>
      <c r="G268" s="23"/>
      <c r="H268" s="57"/>
      <c r="I268" s="23"/>
      <c r="J268" s="23"/>
      <c r="K268" s="25"/>
      <c r="L268" s="23"/>
      <c r="M268" s="23"/>
      <c r="N268" s="25"/>
      <c r="O268" s="23"/>
      <c r="P268" s="23"/>
      <c r="Q268" s="25"/>
      <c r="R268" s="23"/>
      <c r="S268" s="23"/>
      <c r="T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3"/>
      <c r="AQ268" s="23"/>
      <c r="AR268" s="23"/>
      <c r="AS268" s="23"/>
      <c r="AT268" s="23"/>
      <c r="AU268" s="23"/>
      <c r="AV268" s="23"/>
      <c r="AW268" s="23"/>
    </row>
    <row r="269" spans="2:49" x14ac:dyDescent="0.25">
      <c r="B269" s="23"/>
      <c r="C269" s="23"/>
      <c r="D269" s="23"/>
      <c r="E269" s="23"/>
      <c r="F269" s="23"/>
      <c r="G269" s="23"/>
      <c r="H269" s="57"/>
      <c r="I269" s="23"/>
      <c r="J269" s="23"/>
      <c r="K269" s="25"/>
      <c r="L269" s="23"/>
      <c r="M269" s="23"/>
      <c r="N269" s="25"/>
      <c r="O269" s="23"/>
      <c r="P269" s="23"/>
      <c r="Q269" s="25"/>
      <c r="R269" s="23"/>
      <c r="S269" s="23"/>
      <c r="T269" s="23"/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  <c r="AO269" s="23"/>
      <c r="AP269" s="23"/>
      <c r="AQ269" s="23"/>
      <c r="AR269" s="23"/>
      <c r="AS269" s="23"/>
      <c r="AT269" s="23"/>
      <c r="AU269" s="23"/>
      <c r="AV269" s="23"/>
      <c r="AW269" s="23"/>
    </row>
    <row r="270" spans="2:49" x14ac:dyDescent="0.25">
      <c r="B270" s="23"/>
      <c r="C270" s="23"/>
      <c r="D270" s="23"/>
      <c r="E270" s="23"/>
      <c r="F270" s="23"/>
      <c r="G270" s="23"/>
      <c r="H270" s="57"/>
      <c r="I270" s="23"/>
      <c r="J270" s="23"/>
      <c r="K270" s="25"/>
      <c r="L270" s="23"/>
      <c r="M270" s="23"/>
      <c r="N270" s="25"/>
      <c r="O270" s="23"/>
      <c r="P270" s="23"/>
      <c r="Q270" s="25"/>
      <c r="R270" s="23"/>
      <c r="S270" s="23"/>
      <c r="T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23"/>
      <c r="AR270" s="23"/>
      <c r="AS270" s="23"/>
      <c r="AT270" s="23"/>
      <c r="AU270" s="23"/>
      <c r="AV270" s="23"/>
      <c r="AW270" s="23"/>
    </row>
    <row r="271" spans="2:49" x14ac:dyDescent="0.25">
      <c r="B271" s="23"/>
      <c r="C271" s="23"/>
      <c r="D271" s="23"/>
      <c r="E271" s="23"/>
      <c r="F271" s="23"/>
      <c r="G271" s="23"/>
      <c r="H271" s="57"/>
      <c r="I271" s="23"/>
      <c r="J271" s="23"/>
      <c r="K271" s="25"/>
      <c r="L271" s="23"/>
      <c r="M271" s="23"/>
      <c r="N271" s="25"/>
      <c r="O271" s="23"/>
      <c r="P271" s="23"/>
      <c r="Q271" s="25"/>
      <c r="R271" s="23"/>
      <c r="S271" s="23"/>
      <c r="T271" s="23"/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23"/>
      <c r="AO271" s="23"/>
      <c r="AP271" s="23"/>
      <c r="AQ271" s="23"/>
      <c r="AR271" s="23"/>
      <c r="AS271" s="23"/>
      <c r="AT271" s="23"/>
      <c r="AU271" s="23"/>
      <c r="AV271" s="23"/>
      <c r="AW271" s="23"/>
    </row>
    <row r="272" spans="2:49" x14ac:dyDescent="0.25">
      <c r="B272" s="23"/>
      <c r="C272" s="23"/>
      <c r="D272" s="23"/>
      <c r="E272" s="23"/>
      <c r="F272" s="23"/>
      <c r="G272" s="23"/>
      <c r="H272" s="57"/>
      <c r="I272" s="23"/>
      <c r="J272" s="23"/>
      <c r="K272" s="25"/>
      <c r="L272" s="23"/>
      <c r="M272" s="23"/>
      <c r="N272" s="25"/>
      <c r="O272" s="23"/>
      <c r="P272" s="23"/>
      <c r="Q272" s="25"/>
      <c r="R272" s="23"/>
      <c r="S272" s="23"/>
      <c r="T272" s="23"/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  <c r="AM272" s="23"/>
      <c r="AN272" s="23"/>
      <c r="AO272" s="23"/>
      <c r="AP272" s="23"/>
      <c r="AQ272" s="23"/>
      <c r="AR272" s="23"/>
      <c r="AS272" s="23"/>
      <c r="AT272" s="23"/>
      <c r="AU272" s="23"/>
      <c r="AV272" s="23"/>
      <c r="AW272" s="23"/>
    </row>
    <row r="273" spans="28:49" x14ac:dyDescent="0.25"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23"/>
      <c r="AO273" s="23"/>
      <c r="AP273" s="23"/>
      <c r="AQ273" s="23"/>
      <c r="AR273" s="23"/>
      <c r="AS273" s="23"/>
      <c r="AT273" s="23"/>
      <c r="AU273" s="23"/>
      <c r="AV273" s="23"/>
      <c r="AW273" s="23"/>
    </row>
    <row r="274" spans="28:49" x14ac:dyDescent="0.25"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  <c r="AS274" s="23"/>
      <c r="AT274" s="23"/>
      <c r="AU274" s="23"/>
      <c r="AV274" s="23"/>
      <c r="AW274" s="23"/>
    </row>
    <row r="275" spans="28:49" x14ac:dyDescent="0.25"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  <c r="AO275" s="23"/>
      <c r="AP275" s="23"/>
      <c r="AQ275" s="23"/>
      <c r="AR275" s="23"/>
      <c r="AS275" s="23"/>
      <c r="AT275" s="23"/>
      <c r="AU275" s="23"/>
      <c r="AV275" s="23"/>
      <c r="AW275" s="23"/>
    </row>
    <row r="276" spans="28:49" x14ac:dyDescent="0.25"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  <c r="AS276" s="23"/>
      <c r="AT276" s="23"/>
      <c r="AU276" s="23"/>
      <c r="AV276" s="23"/>
      <c r="AW276" s="23"/>
    </row>
    <row r="277" spans="28:49" x14ac:dyDescent="0.25"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23"/>
      <c r="AU277" s="23"/>
      <c r="AV277" s="23"/>
      <c r="AW277" s="23"/>
    </row>
    <row r="278" spans="28:49" x14ac:dyDescent="0.25"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  <c r="AS278" s="23"/>
      <c r="AT278" s="23"/>
      <c r="AU278" s="23"/>
      <c r="AV278" s="23"/>
      <c r="AW278" s="23"/>
    </row>
    <row r="279" spans="28:49" x14ac:dyDescent="0.25"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  <c r="AO279" s="23"/>
      <c r="AP279" s="23"/>
      <c r="AQ279" s="23"/>
      <c r="AR279" s="23"/>
      <c r="AS279" s="23"/>
      <c r="AT279" s="23"/>
      <c r="AU279" s="23"/>
      <c r="AV279" s="23"/>
      <c r="AW279" s="23"/>
    </row>
  </sheetData>
  <sheetProtection formatCells="0" formatColumns="0" formatRows="0" insertRows="0" deleteRows="0" sort="0" autoFilter="0"/>
  <dataValidations count="2">
    <dataValidation type="list" showInputMessage="1" showErrorMessage="1" sqref="Y8:Y9">
      <formula1>"Paid,Created,Sent"</formula1>
    </dataValidation>
    <dataValidation type="list" allowBlank="1" showInputMessage="1" showErrorMessage="1" sqref="Y10:Y41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AXcbHidePaid">
          <controlPr defaultSize="0" autoLine="0" r:id="rId5">
            <anchor moveWithCells="1">
              <from>
                <xdr:col>1</xdr:col>
                <xdr:colOff>1363980</xdr:colOff>
                <xdr:row>4</xdr:row>
                <xdr:rowOff>251460</xdr:rowOff>
              </from>
              <to>
                <xdr:col>2</xdr:col>
                <xdr:colOff>1264920</xdr:colOff>
                <xdr:row>6</xdr:row>
                <xdr:rowOff>15240</xdr:rowOff>
              </to>
            </anchor>
          </controlPr>
        </control>
      </mc:Choice>
      <mc:Fallback>
        <control shapeId="7171" r:id="rId4" name="AXcbHidePaid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autoFill="0" autoPict="0" macro="[0]!Create_Invoice">
            <anchor moveWithCells="1" sizeWithCells="1">
              <from>
                <xdr:col>1</xdr:col>
                <xdr:colOff>396240</xdr:colOff>
                <xdr:row>1</xdr:row>
                <xdr:rowOff>7620</xdr:rowOff>
              </from>
              <to>
                <xdr:col>2</xdr:col>
                <xdr:colOff>198120</xdr:colOff>
                <xdr:row>3</xdr:row>
                <xdr:rowOff>121920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ster"/>
  <dimension ref="A1:H34"/>
  <sheetViews>
    <sheetView topLeftCell="A7" workbookViewId="0">
      <selection activeCell="A34" sqref="A34"/>
    </sheetView>
  </sheetViews>
  <sheetFormatPr defaultColWidth="9" defaultRowHeight="13.8" x14ac:dyDescent="0.25"/>
  <cols>
    <col min="1" max="1" width="19" style="3" customWidth="1"/>
    <col min="2" max="2" width="22.3984375" style="3" customWidth="1"/>
    <col min="3" max="3" width="22.5" style="3" customWidth="1"/>
    <col min="4" max="4" width="19.3984375" style="3" customWidth="1"/>
    <col min="5" max="5" width="15.69921875" style="3" customWidth="1"/>
    <col min="6" max="6" width="16" style="3" customWidth="1"/>
    <col min="7" max="7" width="9" style="4"/>
    <col min="8" max="8" width="33.8984375" style="3" customWidth="1"/>
    <col min="9" max="16384" width="9" style="3"/>
  </cols>
  <sheetData>
    <row r="1" spans="1:8" x14ac:dyDescent="0.25">
      <c r="A1" s="76" t="s">
        <v>0</v>
      </c>
      <c r="B1" s="76" t="s">
        <v>2</v>
      </c>
      <c r="C1" s="76" t="s">
        <v>6</v>
      </c>
      <c r="D1" s="76" t="s">
        <v>7</v>
      </c>
      <c r="E1" s="76" t="s">
        <v>8</v>
      </c>
      <c r="F1" s="76" t="s">
        <v>3</v>
      </c>
      <c r="G1" s="77" t="s">
        <v>97</v>
      </c>
      <c r="H1" s="76" t="s">
        <v>151</v>
      </c>
    </row>
    <row r="2" spans="1:8" x14ac:dyDescent="0.25">
      <c r="A2" s="78" t="s">
        <v>152</v>
      </c>
      <c r="B2" s="79" t="s">
        <v>219</v>
      </c>
      <c r="C2" s="78" t="s">
        <v>22</v>
      </c>
      <c r="D2" s="78" t="s">
        <v>23</v>
      </c>
      <c r="E2" s="78" t="s">
        <v>24</v>
      </c>
      <c r="F2" s="78" t="s">
        <v>190</v>
      </c>
      <c r="G2" s="80">
        <v>0.2</v>
      </c>
      <c r="H2" s="78" t="s">
        <v>228</v>
      </c>
    </row>
    <row r="3" spans="1:8" x14ac:dyDescent="0.25">
      <c r="A3" s="78" t="s">
        <v>44</v>
      </c>
      <c r="B3" s="79" t="s">
        <v>10</v>
      </c>
      <c r="C3" s="78" t="s">
        <v>25</v>
      </c>
      <c r="D3" s="78" t="s">
        <v>26</v>
      </c>
      <c r="E3" s="78" t="s">
        <v>27</v>
      </c>
      <c r="F3" s="78" t="s">
        <v>190</v>
      </c>
      <c r="G3" s="80">
        <v>0</v>
      </c>
      <c r="H3" s="78" t="s">
        <v>153</v>
      </c>
    </row>
    <row r="4" spans="1:8" x14ac:dyDescent="0.25">
      <c r="A4" s="78" t="s">
        <v>45</v>
      </c>
      <c r="B4" s="79" t="s">
        <v>11</v>
      </c>
      <c r="C4" s="78" t="s">
        <v>28</v>
      </c>
      <c r="D4" s="78" t="s">
        <v>30</v>
      </c>
      <c r="E4" s="78" t="s">
        <v>29</v>
      </c>
      <c r="F4" s="78"/>
      <c r="G4" s="80">
        <v>0</v>
      </c>
      <c r="H4" s="78" t="s">
        <v>154</v>
      </c>
    </row>
    <row r="5" spans="1:8" x14ac:dyDescent="0.25">
      <c r="A5" s="78" t="s">
        <v>121</v>
      </c>
      <c r="B5" s="79" t="s">
        <v>12</v>
      </c>
      <c r="C5" s="78" t="s">
        <v>31</v>
      </c>
      <c r="D5" s="78" t="s">
        <v>33</v>
      </c>
      <c r="E5" s="78" t="s">
        <v>32</v>
      </c>
      <c r="F5" s="78"/>
      <c r="G5" s="80">
        <v>0</v>
      </c>
      <c r="H5" s="78" t="s">
        <v>155</v>
      </c>
    </row>
    <row r="6" spans="1:8" x14ac:dyDescent="0.25">
      <c r="A6" s="78" t="s">
        <v>46</v>
      </c>
      <c r="B6" s="79" t="s">
        <v>13</v>
      </c>
      <c r="C6" s="78" t="s">
        <v>34</v>
      </c>
      <c r="D6" s="78" t="s">
        <v>33</v>
      </c>
      <c r="E6" s="78" t="s">
        <v>32</v>
      </c>
      <c r="F6" s="78" t="s">
        <v>190</v>
      </c>
      <c r="G6" s="80">
        <v>0</v>
      </c>
      <c r="H6" s="78" t="s">
        <v>156</v>
      </c>
    </row>
    <row r="7" spans="1:8" x14ac:dyDescent="0.25">
      <c r="A7" s="78" t="s">
        <v>124</v>
      </c>
      <c r="B7" s="79" t="s">
        <v>14</v>
      </c>
      <c r="C7" s="78" t="s">
        <v>35</v>
      </c>
      <c r="D7" s="78" t="s">
        <v>33</v>
      </c>
      <c r="E7" s="78" t="s">
        <v>32</v>
      </c>
      <c r="F7" s="78"/>
      <c r="G7" s="80">
        <v>0</v>
      </c>
      <c r="H7" s="78" t="s">
        <v>229</v>
      </c>
    </row>
    <row r="8" spans="1:8" x14ac:dyDescent="0.25">
      <c r="A8" s="78" t="s">
        <v>120</v>
      </c>
      <c r="B8" s="79" t="s">
        <v>15</v>
      </c>
      <c r="C8" s="78" t="s">
        <v>36</v>
      </c>
      <c r="D8" s="78" t="s">
        <v>37</v>
      </c>
      <c r="E8" s="78" t="s">
        <v>38</v>
      </c>
      <c r="F8" s="78"/>
      <c r="G8" s="80">
        <v>0</v>
      </c>
      <c r="H8" s="78" t="s">
        <v>230</v>
      </c>
    </row>
    <row r="9" spans="1:8" x14ac:dyDescent="0.25">
      <c r="A9" s="78" t="s">
        <v>47</v>
      </c>
      <c r="B9" s="79" t="s">
        <v>85</v>
      </c>
      <c r="C9" s="78" t="s">
        <v>39</v>
      </c>
      <c r="D9" s="78" t="s">
        <v>41</v>
      </c>
      <c r="E9" s="78" t="s">
        <v>40</v>
      </c>
      <c r="F9" s="78"/>
      <c r="G9" s="80">
        <v>0</v>
      </c>
      <c r="H9" s="78" t="s">
        <v>231</v>
      </c>
    </row>
    <row r="10" spans="1:8" x14ac:dyDescent="0.25">
      <c r="A10" s="78" t="s">
        <v>48</v>
      </c>
      <c r="B10" s="79" t="s">
        <v>86</v>
      </c>
      <c r="C10" s="78" t="s">
        <v>39</v>
      </c>
      <c r="D10" s="78" t="s">
        <v>41</v>
      </c>
      <c r="E10" s="78" t="s">
        <v>40</v>
      </c>
      <c r="F10" s="78"/>
      <c r="G10" s="80">
        <v>0</v>
      </c>
      <c r="H10" s="78" t="s">
        <v>232</v>
      </c>
    </row>
    <row r="11" spans="1:8" x14ac:dyDescent="0.25">
      <c r="A11" s="78" t="s">
        <v>49</v>
      </c>
      <c r="B11" s="79" t="s">
        <v>18</v>
      </c>
      <c r="C11" s="78" t="s">
        <v>78</v>
      </c>
      <c r="D11" s="78" t="s">
        <v>43</v>
      </c>
      <c r="E11" s="78" t="s">
        <v>42</v>
      </c>
      <c r="F11" s="78" t="s">
        <v>190</v>
      </c>
      <c r="G11" s="80">
        <v>0</v>
      </c>
      <c r="H11" s="78" t="s">
        <v>157</v>
      </c>
    </row>
    <row r="12" spans="1:8" x14ac:dyDescent="0.25">
      <c r="A12" s="78" t="s">
        <v>50</v>
      </c>
      <c r="B12" s="79" t="s">
        <v>168</v>
      </c>
      <c r="C12" s="78" t="s">
        <v>95</v>
      </c>
      <c r="D12" s="78" t="s">
        <v>96</v>
      </c>
      <c r="E12" s="78" t="s">
        <v>98</v>
      </c>
      <c r="F12" s="78" t="s">
        <v>116</v>
      </c>
      <c r="G12" s="80">
        <v>0</v>
      </c>
      <c r="H12" s="78" t="s">
        <v>212</v>
      </c>
    </row>
    <row r="13" spans="1:8" x14ac:dyDescent="0.25">
      <c r="A13" s="78" t="s">
        <v>51</v>
      </c>
      <c r="B13" s="79" t="s">
        <v>16</v>
      </c>
      <c r="C13" s="78" t="s">
        <v>101</v>
      </c>
      <c r="D13" s="78" t="s">
        <v>102</v>
      </c>
      <c r="E13" s="78" t="s">
        <v>99</v>
      </c>
      <c r="F13" s="78" t="s">
        <v>190</v>
      </c>
      <c r="G13" s="80">
        <v>0</v>
      </c>
      <c r="H13" s="78" t="s">
        <v>158</v>
      </c>
    </row>
    <row r="14" spans="1:8" x14ac:dyDescent="0.25">
      <c r="A14" s="78" t="s">
        <v>169</v>
      </c>
      <c r="B14" s="79" t="s">
        <v>170</v>
      </c>
      <c r="C14" s="78" t="s">
        <v>171</v>
      </c>
      <c r="D14" s="78" t="s">
        <v>172</v>
      </c>
      <c r="E14" s="78" t="s">
        <v>57</v>
      </c>
      <c r="F14" s="78" t="s">
        <v>173</v>
      </c>
      <c r="G14" s="80">
        <v>0.2</v>
      </c>
      <c r="H14" s="78" t="s">
        <v>213</v>
      </c>
    </row>
    <row r="15" spans="1:8" x14ac:dyDescent="0.25">
      <c r="A15" s="78" t="s">
        <v>52</v>
      </c>
      <c r="B15" s="79" t="s">
        <v>174</v>
      </c>
      <c r="C15" s="78" t="s">
        <v>100</v>
      </c>
      <c r="D15" s="78" t="s">
        <v>175</v>
      </c>
      <c r="E15" s="78" t="s">
        <v>57</v>
      </c>
      <c r="F15" s="78" t="s">
        <v>112</v>
      </c>
      <c r="G15" s="80">
        <v>0.2</v>
      </c>
      <c r="H15" s="78" t="s">
        <v>159</v>
      </c>
    </row>
    <row r="16" spans="1:8" x14ac:dyDescent="0.25">
      <c r="A16" s="78" t="s">
        <v>176</v>
      </c>
      <c r="B16" s="79" t="s">
        <v>177</v>
      </c>
      <c r="C16" s="78" t="s">
        <v>178</v>
      </c>
      <c r="D16" s="78" t="s">
        <v>179</v>
      </c>
      <c r="E16" s="78" t="s">
        <v>99</v>
      </c>
      <c r="F16" s="78" t="s">
        <v>190</v>
      </c>
      <c r="G16" s="80">
        <v>0</v>
      </c>
      <c r="H16" s="78" t="s">
        <v>214</v>
      </c>
    </row>
    <row r="17" spans="1:8" s="6" customFormat="1" x14ac:dyDescent="0.25">
      <c r="A17" s="78" t="s">
        <v>180</v>
      </c>
      <c r="B17" s="79" t="s">
        <v>181</v>
      </c>
      <c r="C17" s="78" t="s">
        <v>182</v>
      </c>
      <c r="D17" s="78" t="s">
        <v>183</v>
      </c>
      <c r="E17" s="78" t="s">
        <v>99</v>
      </c>
      <c r="F17" s="78"/>
      <c r="G17" s="80">
        <v>0</v>
      </c>
      <c r="H17" s="78" t="s">
        <v>215</v>
      </c>
    </row>
    <row r="18" spans="1:8" s="6" customFormat="1" x14ac:dyDescent="0.25">
      <c r="A18" s="78" t="s">
        <v>53</v>
      </c>
      <c r="B18" s="79" t="s">
        <v>17</v>
      </c>
      <c r="C18" s="78" t="s">
        <v>55</v>
      </c>
      <c r="D18" s="78" t="s">
        <v>56</v>
      </c>
      <c r="E18" s="78" t="s">
        <v>57</v>
      </c>
      <c r="F18" s="78" t="s">
        <v>113</v>
      </c>
      <c r="G18" s="80">
        <v>0.2</v>
      </c>
      <c r="H18" s="78" t="s">
        <v>160</v>
      </c>
    </row>
    <row r="19" spans="1:8" s="6" customFormat="1" x14ac:dyDescent="0.25">
      <c r="A19" s="78" t="s">
        <v>92</v>
      </c>
      <c r="B19" s="79" t="s">
        <v>184</v>
      </c>
      <c r="C19" s="78" t="s">
        <v>93</v>
      </c>
      <c r="D19" s="78" t="s">
        <v>94</v>
      </c>
      <c r="E19" s="78" t="s">
        <v>98</v>
      </c>
      <c r="F19" s="78" t="s">
        <v>117</v>
      </c>
      <c r="G19" s="80">
        <v>0.2</v>
      </c>
      <c r="H19" s="78" t="s">
        <v>238</v>
      </c>
    </row>
    <row r="20" spans="1:8" s="6" customFormat="1" x14ac:dyDescent="0.25">
      <c r="A20" s="78" t="s">
        <v>67</v>
      </c>
      <c r="B20" s="79" t="s">
        <v>83</v>
      </c>
      <c r="C20" s="78" t="s">
        <v>60</v>
      </c>
      <c r="D20" s="78" t="s">
        <v>61</v>
      </c>
      <c r="E20" s="78" t="s">
        <v>57</v>
      </c>
      <c r="F20" s="78" t="s">
        <v>114</v>
      </c>
      <c r="G20" s="80">
        <v>0.2</v>
      </c>
      <c r="H20" s="78" t="s">
        <v>233</v>
      </c>
    </row>
    <row r="21" spans="1:8" s="6" customFormat="1" x14ac:dyDescent="0.25">
      <c r="A21" s="78" t="s">
        <v>123</v>
      </c>
      <c r="B21" s="79" t="s">
        <v>18</v>
      </c>
      <c r="C21" s="78" t="s">
        <v>90</v>
      </c>
      <c r="D21" s="78" t="s">
        <v>91</v>
      </c>
      <c r="E21" s="78" t="s">
        <v>98</v>
      </c>
      <c r="F21" s="78" t="s">
        <v>119</v>
      </c>
      <c r="G21" s="80">
        <v>0.2</v>
      </c>
      <c r="H21" s="78" t="s">
        <v>161</v>
      </c>
    </row>
    <row r="22" spans="1:8" s="6" customFormat="1" x14ac:dyDescent="0.25">
      <c r="A22" s="78" t="s">
        <v>54</v>
      </c>
      <c r="B22" s="81" t="s">
        <v>19</v>
      </c>
      <c r="C22" s="78" t="s">
        <v>58</v>
      </c>
      <c r="D22" s="78" t="s">
        <v>59</v>
      </c>
      <c r="E22" s="78" t="s">
        <v>57</v>
      </c>
      <c r="F22" s="78" t="s">
        <v>115</v>
      </c>
      <c r="G22" s="80">
        <v>0.2</v>
      </c>
      <c r="H22" s="78" t="s">
        <v>162</v>
      </c>
    </row>
    <row r="23" spans="1:8" s="6" customFormat="1" x14ac:dyDescent="0.25">
      <c r="A23" s="78" t="s">
        <v>68</v>
      </c>
      <c r="B23" s="79" t="s">
        <v>84</v>
      </c>
      <c r="C23" s="78" t="s">
        <v>69</v>
      </c>
      <c r="D23" s="78" t="s">
        <v>71</v>
      </c>
      <c r="E23" s="78" t="s">
        <v>70</v>
      </c>
      <c r="F23" s="78" t="s">
        <v>103</v>
      </c>
      <c r="G23" s="80">
        <v>0.19</v>
      </c>
      <c r="H23" s="78" t="s">
        <v>163</v>
      </c>
    </row>
    <row r="24" spans="1:8" s="6" customFormat="1" x14ac:dyDescent="0.25">
      <c r="A24" s="82" t="s">
        <v>77</v>
      </c>
      <c r="B24" s="83" t="s">
        <v>185</v>
      </c>
      <c r="C24" s="82" t="s">
        <v>69</v>
      </c>
      <c r="D24" s="82" t="s">
        <v>71</v>
      </c>
      <c r="E24" s="82" t="s">
        <v>70</v>
      </c>
      <c r="F24" s="82" t="s">
        <v>104</v>
      </c>
      <c r="G24" s="84">
        <v>0.19</v>
      </c>
      <c r="H24" s="82" t="s">
        <v>164</v>
      </c>
    </row>
    <row r="25" spans="1:8" s="6" customFormat="1" x14ac:dyDescent="0.25">
      <c r="A25" s="82" t="s">
        <v>72</v>
      </c>
      <c r="B25" s="83" t="s">
        <v>20</v>
      </c>
      <c r="C25" s="82" t="s">
        <v>73</v>
      </c>
      <c r="D25" s="82" t="s">
        <v>74</v>
      </c>
      <c r="E25" s="82" t="s">
        <v>70</v>
      </c>
      <c r="F25" s="82" t="s">
        <v>105</v>
      </c>
      <c r="G25" s="84">
        <v>0.19</v>
      </c>
      <c r="H25" s="82" t="s">
        <v>165</v>
      </c>
    </row>
    <row r="26" spans="1:8" s="6" customFormat="1" x14ac:dyDescent="0.25">
      <c r="A26" s="82" t="s">
        <v>76</v>
      </c>
      <c r="B26" s="83" t="s">
        <v>21</v>
      </c>
      <c r="C26" s="82" t="s">
        <v>75</v>
      </c>
      <c r="D26" s="82" t="s">
        <v>74</v>
      </c>
      <c r="E26" s="82" t="s">
        <v>70</v>
      </c>
      <c r="F26" s="82" t="s">
        <v>106</v>
      </c>
      <c r="G26" s="84">
        <v>0.19</v>
      </c>
      <c r="H26" s="82" t="s">
        <v>166</v>
      </c>
    </row>
    <row r="27" spans="1:8" s="6" customFormat="1" x14ac:dyDescent="0.25">
      <c r="A27" s="82" t="s">
        <v>122</v>
      </c>
      <c r="B27" s="83" t="s">
        <v>87</v>
      </c>
      <c r="C27" s="82" t="s">
        <v>88</v>
      </c>
      <c r="D27" s="82" t="s">
        <v>89</v>
      </c>
      <c r="E27" s="82" t="s">
        <v>98</v>
      </c>
      <c r="F27" s="82" t="s">
        <v>118</v>
      </c>
      <c r="G27" s="84">
        <v>0.19</v>
      </c>
      <c r="H27" s="82" t="s">
        <v>239</v>
      </c>
    </row>
    <row r="28" spans="1:8" s="6" customFormat="1" x14ac:dyDescent="0.25">
      <c r="A28" s="82" t="s">
        <v>62</v>
      </c>
      <c r="B28" s="82" t="s">
        <v>79</v>
      </c>
      <c r="C28" s="82" t="s">
        <v>60</v>
      </c>
      <c r="D28" s="82" t="s">
        <v>61</v>
      </c>
      <c r="E28" s="82" t="s">
        <v>57</v>
      </c>
      <c r="F28" s="82" t="s">
        <v>109</v>
      </c>
      <c r="G28" s="84">
        <v>0.2</v>
      </c>
      <c r="H28" s="82" t="s">
        <v>234</v>
      </c>
    </row>
    <row r="29" spans="1:8" x14ac:dyDescent="0.25">
      <c r="A29" s="82" t="s">
        <v>63</v>
      </c>
      <c r="B29" s="82" t="s">
        <v>80</v>
      </c>
      <c r="C29" s="82" t="s">
        <v>60</v>
      </c>
      <c r="D29" s="82" t="s">
        <v>61</v>
      </c>
      <c r="E29" s="82" t="s">
        <v>57</v>
      </c>
      <c r="F29" s="82" t="s">
        <v>110</v>
      </c>
      <c r="G29" s="84">
        <v>0.2</v>
      </c>
      <c r="H29" s="82" t="s">
        <v>235</v>
      </c>
    </row>
    <row r="30" spans="1:8" x14ac:dyDescent="0.25">
      <c r="A30" s="82" t="s">
        <v>64</v>
      </c>
      <c r="B30" s="82" t="s">
        <v>81</v>
      </c>
      <c r="C30" s="82" t="s">
        <v>60</v>
      </c>
      <c r="D30" s="82" t="s">
        <v>61</v>
      </c>
      <c r="E30" s="82" t="s">
        <v>57</v>
      </c>
      <c r="F30" s="82" t="s">
        <v>111</v>
      </c>
      <c r="G30" s="84">
        <v>0.2</v>
      </c>
      <c r="H30" s="82" t="s">
        <v>236</v>
      </c>
    </row>
    <row r="31" spans="1:8" x14ac:dyDescent="0.25">
      <c r="A31" s="82" t="s">
        <v>65</v>
      </c>
      <c r="B31" s="82" t="s">
        <v>82</v>
      </c>
      <c r="C31" s="82" t="s">
        <v>60</v>
      </c>
      <c r="D31" s="82" t="s">
        <v>61</v>
      </c>
      <c r="E31" s="82" t="s">
        <v>57</v>
      </c>
      <c r="F31" s="82" t="s">
        <v>107</v>
      </c>
      <c r="G31" s="84">
        <v>0.2</v>
      </c>
      <c r="H31" s="82" t="s">
        <v>237</v>
      </c>
    </row>
    <row r="32" spans="1:8" x14ac:dyDescent="0.25">
      <c r="A32" s="82" t="s">
        <v>66</v>
      </c>
      <c r="B32" s="82" t="s">
        <v>17</v>
      </c>
      <c r="C32" s="82" t="s">
        <v>55</v>
      </c>
      <c r="D32" s="82" t="s">
        <v>56</v>
      </c>
      <c r="E32" s="82" t="s">
        <v>57</v>
      </c>
      <c r="F32" s="82" t="s">
        <v>108</v>
      </c>
      <c r="G32" s="84">
        <v>0.2</v>
      </c>
      <c r="H32" s="82" t="s">
        <v>167</v>
      </c>
    </row>
    <row r="33" spans="1:8" x14ac:dyDescent="0.25">
      <c r="G33" s="62"/>
    </row>
    <row r="34" spans="1:8" x14ac:dyDescent="0.25">
      <c r="A34" s="3" t="s">
        <v>305</v>
      </c>
      <c r="B34" s="3" t="s">
        <v>304</v>
      </c>
      <c r="C34" s="3" t="s">
        <v>304</v>
      </c>
      <c r="D34" s="3" t="s">
        <v>304</v>
      </c>
      <c r="E34" s="3" t="s">
        <v>190</v>
      </c>
      <c r="F34" s="3" t="s">
        <v>190</v>
      </c>
      <c r="G34" s="62">
        <v>0.2</v>
      </c>
      <c r="H34" s="3" t="s">
        <v>190</v>
      </c>
    </row>
  </sheetData>
  <hyperlinks>
    <hyperlink ref="H14" r:id="rId1"/>
    <hyperlink ref="H13" r:id="rId2"/>
    <hyperlink ref="H16" r:id="rId3"/>
    <hyperlink ref="H17" r:id="rId4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"/>
  <dimension ref="B1:E33"/>
  <sheetViews>
    <sheetView showGridLines="0" zoomScaleNormal="100" workbookViewId="0">
      <selection activeCell="B32" sqref="B32"/>
    </sheetView>
  </sheetViews>
  <sheetFormatPr defaultRowHeight="13.8" x14ac:dyDescent="0.25"/>
  <cols>
    <col min="1" max="1" width="1.5" customWidth="1"/>
    <col min="2" max="2" width="37.3984375" customWidth="1"/>
    <col min="3" max="3" width="20" customWidth="1"/>
    <col min="4" max="4" width="12.5" customWidth="1"/>
    <col min="5" max="5" width="7.09765625" customWidth="1"/>
  </cols>
  <sheetData>
    <row r="1" spans="2:4" ht="13.5" customHeight="1" x14ac:dyDescent="0.25"/>
    <row r="2" spans="2:4" x14ac:dyDescent="0.25">
      <c r="B2" t="s">
        <v>243</v>
      </c>
    </row>
    <row r="3" spans="2:4" x14ac:dyDescent="0.25">
      <c r="B3" s="70" t="s">
        <v>244</v>
      </c>
    </row>
    <row r="4" spans="2:4" x14ac:dyDescent="0.25">
      <c r="B4" t="s">
        <v>245</v>
      </c>
    </row>
    <row r="7" spans="2:4" x14ac:dyDescent="0.25">
      <c r="C7" s="15" t="s">
        <v>189</v>
      </c>
      <c r="D7" s="61">
        <v>15055</v>
      </c>
    </row>
    <row r="8" spans="2:4" x14ac:dyDescent="0.25">
      <c r="C8" s="15" t="s">
        <v>9</v>
      </c>
      <c r="D8" s="16">
        <v>44527</v>
      </c>
    </row>
    <row r="9" spans="2:4" x14ac:dyDescent="0.25">
      <c r="C9" s="15"/>
      <c r="D9" s="15"/>
    </row>
    <row r="12" spans="2:4" x14ac:dyDescent="0.25">
      <c r="B12" t="s">
        <v>253</v>
      </c>
    </row>
    <row r="13" spans="2:4" x14ac:dyDescent="0.25">
      <c r="B13" t="s">
        <v>268</v>
      </c>
    </row>
    <row r="15" spans="2:4" x14ac:dyDescent="0.25">
      <c r="B15" t="s">
        <v>31</v>
      </c>
    </row>
    <row r="16" spans="2:4" x14ac:dyDescent="0.25">
      <c r="B16" t="s">
        <v>33</v>
      </c>
    </row>
    <row r="17" spans="2:5" x14ac:dyDescent="0.25">
      <c r="B17" t="s">
        <v>32</v>
      </c>
    </row>
    <row r="20" spans="2:5" ht="33.75" customHeight="1" x14ac:dyDescent="0.25">
      <c r="B20" s="20" t="s">
        <v>125</v>
      </c>
      <c r="C20" s="20" t="s">
        <v>126</v>
      </c>
      <c r="D20" s="20" t="s">
        <v>127</v>
      </c>
      <c r="E20" s="20" t="s">
        <v>133</v>
      </c>
    </row>
    <row r="21" spans="2:5" x14ac:dyDescent="0.25">
      <c r="B21" s="17" t="s">
        <v>207</v>
      </c>
      <c r="C21" s="22" t="s">
        <v>278</v>
      </c>
      <c r="D21" s="19">
        <v>3060</v>
      </c>
      <c r="E21" s="63">
        <v>0</v>
      </c>
    </row>
    <row r="22" spans="2:5" x14ac:dyDescent="0.25">
      <c r="B22" s="17"/>
      <c r="C22" s="22"/>
      <c r="D22" s="19"/>
      <c r="E22" s="63">
        <f>IF(D22="",0,$E$21)</f>
        <v>0</v>
      </c>
    </row>
    <row r="23" spans="2:5" x14ac:dyDescent="0.25">
      <c r="B23" s="17"/>
      <c r="C23" s="22"/>
      <c r="D23" s="19"/>
      <c r="E23" s="63">
        <f>IF(D23="",0,$E$21)</f>
        <v>0</v>
      </c>
    </row>
    <row r="24" spans="2:5" x14ac:dyDescent="0.25">
      <c r="B24" s="17"/>
      <c r="C24" s="18"/>
      <c r="D24" s="19"/>
      <c r="E24" s="63"/>
    </row>
    <row r="25" spans="2:5" ht="21.75" customHeight="1" x14ac:dyDescent="0.25">
      <c r="C25" s="1" t="s">
        <v>128</v>
      </c>
      <c r="D25" s="5">
        <f>SUM(D21:D24)</f>
        <v>3060</v>
      </c>
    </row>
    <row r="26" spans="2:5" ht="21.75" customHeight="1" x14ac:dyDescent="0.25">
      <c r="C26" s="1" t="s">
        <v>97</v>
      </c>
      <c r="D26" s="5">
        <f>SUMPRODUCT(D21:D24*E21:E24)</f>
        <v>0</v>
      </c>
    </row>
    <row r="27" spans="2:5" ht="21.75" customHeight="1" x14ac:dyDescent="0.3">
      <c r="C27" s="2" t="s">
        <v>129</v>
      </c>
      <c r="D27" s="5">
        <f>D25+D26</f>
        <v>3060</v>
      </c>
    </row>
    <row r="28" spans="2:5" ht="34.5" customHeight="1" x14ac:dyDescent="0.25"/>
    <row r="29" spans="2:5" ht="42.75" customHeight="1" x14ac:dyDescent="0.25"/>
    <row r="30" spans="2:5" x14ac:dyDescent="0.25">
      <c r="B30" t="s">
        <v>130</v>
      </c>
    </row>
    <row r="31" spans="2:5" x14ac:dyDescent="0.25">
      <c r="B31" t="s">
        <v>216</v>
      </c>
    </row>
    <row r="32" spans="2:5" x14ac:dyDescent="0.25">
      <c r="B32" t="s">
        <v>131</v>
      </c>
    </row>
    <row r="33" spans="2:2" x14ac:dyDescent="0.25">
      <c r="B33" t="s">
        <v>132</v>
      </c>
    </row>
  </sheetData>
  <hyperlinks>
    <hyperlink ref="B3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Dashboard</vt:lpstr>
      <vt:lpstr>Invoice</vt:lpstr>
      <vt:lpstr>Masterdata</vt:lpstr>
      <vt:lpstr>Template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tool example for Excel VBA course on Udemy.com. Find out more on www.xelplus.com\courses</dc:description>
  <cp:lastModifiedBy>Moiht Suthar</cp:lastModifiedBy>
  <cp:lastPrinted>2017-12-21T12:43:58Z</cp:lastPrinted>
  <dcterms:created xsi:type="dcterms:W3CDTF">2017-10-05T08:02:23Z</dcterms:created>
  <dcterms:modified xsi:type="dcterms:W3CDTF">2021-11-26T23:13:40Z</dcterms:modified>
</cp:coreProperties>
</file>